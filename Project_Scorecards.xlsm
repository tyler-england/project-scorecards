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trlProps/ctrlProp6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trlProps/ctrlProp7.xml" ContentType="application/vnd.ms-excel.controlproperti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trlProps/ctrlProp8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bw1-my.sharepoint.com/personal/tyler_england_bwpackagingsystems_com/Documents/Distributed Files/Project Scorecards/"/>
    </mc:Choice>
  </mc:AlternateContent>
  <xr:revisionPtr revIDLastSave="22264" documentId="13_ncr:1_{D7FCE3FB-5AF9-4B8E-A995-FBD2715D6DDD}" xr6:coauthVersionLast="47" xr6:coauthVersionMax="47" xr10:uidLastSave="{7EE8FC66-4B76-46D7-BB35-904B181EC154}"/>
  <bookViews>
    <workbookView minimized="1" xWindow="1788" yWindow="1380" windowWidth="21600" windowHeight="11328" activeTab="3" xr2:uid="{C5E8178D-64D4-48D6-940D-9287446EC68E}"/>
  </bookViews>
  <sheets>
    <sheet name="Summary" sheetId="6" r:id="rId1"/>
    <sheet name="#BLANK" sheetId="4" state="hidden" r:id="rId2"/>
    <sheet name="#KEY" sheetId="13" r:id="rId3"/>
    <sheet name="C-GSKITA-834" sheetId="8" r:id="rId4"/>
    <sheet name="C-INNOVA-788" sheetId="7" r:id="rId5"/>
    <sheet name="C-INNOVA-789" sheetId="11" r:id="rId6"/>
    <sheet name="C-INNOVA-793" sheetId="12" r:id="rId7"/>
    <sheet name="C-KEYGEN-828" sheetId="9" r:id="rId8"/>
    <sheet name="C-NORTHE-841" sheetId="10" r:id="rId9"/>
  </sheets>
  <functionGroups builtInGroupCount="19"/>
  <definedNames>
    <definedName name="_xlnm.Print_Area" localSheetId="3">'C-GSKITA-834'!$A$1:$AF$43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1" i="12" l="1"/>
  <c r="F11" i="12"/>
  <c r="V10" i="12"/>
  <c r="V11" i="12" s="1"/>
  <c r="T10" i="12"/>
  <c r="T11" i="12" s="1"/>
  <c r="R10" i="12"/>
  <c r="R11" i="12" s="1"/>
  <c r="P10" i="12"/>
  <c r="P11" i="12" s="1"/>
  <c r="N10" i="12"/>
  <c r="N11" i="12" s="1"/>
  <c r="L10" i="12"/>
  <c r="L11" i="12" s="1"/>
  <c r="J10" i="12"/>
  <c r="J11" i="12" s="1"/>
  <c r="H4" i="12"/>
  <c r="G11" i="11"/>
  <c r="F11" i="11"/>
  <c r="V10" i="11"/>
  <c r="V11" i="11" s="1"/>
  <c r="T10" i="11"/>
  <c r="T11" i="11" s="1"/>
  <c r="R10" i="11"/>
  <c r="R11" i="11" s="1"/>
  <c r="P10" i="11"/>
  <c r="P11" i="11" s="1"/>
  <c r="N10" i="11"/>
  <c r="N11" i="11" s="1"/>
  <c r="L10" i="11"/>
  <c r="L11" i="11" s="1"/>
  <c r="J10" i="11"/>
  <c r="J11" i="11" s="1"/>
  <c r="H4" i="11"/>
  <c r="G11" i="10"/>
  <c r="F11" i="10"/>
  <c r="V10" i="10"/>
  <c r="V11" i="10" s="1"/>
  <c r="T10" i="10"/>
  <c r="T11" i="10" s="1"/>
  <c r="R10" i="10"/>
  <c r="R11" i="10" s="1"/>
  <c r="P10" i="10"/>
  <c r="P11" i="10" s="1"/>
  <c r="N10" i="10"/>
  <c r="N11" i="10" s="1"/>
  <c r="L10" i="10"/>
  <c r="L11" i="10" s="1"/>
  <c r="J10" i="10"/>
  <c r="J11" i="10" s="1"/>
  <c r="H4" i="10"/>
  <c r="G11" i="9"/>
  <c r="F11" i="9"/>
  <c r="V10" i="9"/>
  <c r="V11" i="9" s="1"/>
  <c r="T10" i="9"/>
  <c r="T11" i="9" s="1"/>
  <c r="R10" i="9"/>
  <c r="R11" i="9" s="1"/>
  <c r="P10" i="9"/>
  <c r="P11" i="9" s="1"/>
  <c r="N10" i="9"/>
  <c r="N11" i="9" s="1"/>
  <c r="L10" i="9"/>
  <c r="L11" i="9" s="1"/>
  <c r="J10" i="9"/>
  <c r="J11" i="9" s="1"/>
  <c r="H4" i="9"/>
  <c r="G11" i="8"/>
  <c r="F11" i="8"/>
  <c r="V10" i="8"/>
  <c r="V11" i="8" s="1"/>
  <c r="T10" i="8"/>
  <c r="T11" i="8" s="1"/>
  <c r="R10" i="8"/>
  <c r="R11" i="8" s="1"/>
  <c r="P10" i="8"/>
  <c r="P11" i="8" s="1"/>
  <c r="N10" i="8"/>
  <c r="N11" i="8" s="1"/>
  <c r="L10" i="8"/>
  <c r="L11" i="8" s="1"/>
  <c r="J10" i="8"/>
  <c r="J11" i="8" s="1"/>
  <c r="H4" i="8"/>
  <c r="G11" i="7"/>
  <c r="F11" i="7"/>
  <c r="V10" i="7"/>
  <c r="V11" i="7" s="1"/>
  <c r="T10" i="7"/>
  <c r="T11" i="7" s="1"/>
  <c r="R10" i="7"/>
  <c r="R11" i="7" s="1"/>
  <c r="P10" i="7"/>
  <c r="P11" i="7" s="1"/>
  <c r="N10" i="7"/>
  <c r="N11" i="7" s="1"/>
  <c r="L10" i="7"/>
  <c r="L11" i="7" s="1"/>
  <c r="J10" i="7"/>
  <c r="J11" i="7" s="1"/>
  <c r="H4" i="7"/>
  <c r="H4" i="4" l="1"/>
  <c r="J10" i="4" l="1"/>
  <c r="G11" i="4" l="1"/>
  <c r="F11" i="4"/>
  <c r="V10" i="4"/>
  <c r="V11" i="4" s="1"/>
  <c r="T10" i="4"/>
  <c r="T11" i="4" s="1"/>
  <c r="R10" i="4"/>
  <c r="R11" i="4" s="1"/>
  <c r="P10" i="4"/>
  <c r="P11" i="4" s="1"/>
  <c r="N10" i="4"/>
  <c r="N11" i="4" s="1"/>
  <c r="L10" i="4"/>
  <c r="L11" i="4" s="1"/>
  <c r="J11" i="4"/>
</calcChain>
</file>

<file path=xl/sharedStrings.xml><?xml version="1.0" encoding="utf-8"?>
<sst xmlns="http://schemas.openxmlformats.org/spreadsheetml/2006/main" count="2048" uniqueCount="355">
  <si>
    <t>Material</t>
  </si>
  <si>
    <t>Customer</t>
  </si>
  <si>
    <t>P&amp;ID</t>
  </si>
  <si>
    <t>GA</t>
  </si>
  <si>
    <t>FRS</t>
  </si>
  <si>
    <t>DDS</t>
  </si>
  <si>
    <t>Testing</t>
  </si>
  <si>
    <t>FAT</t>
  </si>
  <si>
    <t>Project Trend</t>
  </si>
  <si>
    <t>Engineering Hours</t>
  </si>
  <si>
    <t>Assembly Hours</t>
  </si>
  <si>
    <t>Serial Number</t>
  </si>
  <si>
    <t>Mech.</t>
  </si>
  <si>
    <t>Elec.</t>
  </si>
  <si>
    <t>Software</t>
  </si>
  <si>
    <t>CO Number</t>
  </si>
  <si>
    <t>Act.</t>
  </si>
  <si>
    <t>Rem.</t>
  </si>
  <si>
    <t>ENG/MFG inputs</t>
  </si>
  <si>
    <t>Work Order</t>
  </si>
  <si>
    <t>Apps input</t>
  </si>
  <si>
    <t>Automatic</t>
  </si>
  <si>
    <t>Sell Price</t>
  </si>
  <si>
    <t>Sold vs. Act</t>
  </si>
  <si>
    <t>Margin</t>
  </si>
  <si>
    <t>Destination</t>
  </si>
  <si>
    <t>Belize</t>
  </si>
  <si>
    <t>Manual</t>
  </si>
  <si>
    <t>Sell Date</t>
  </si>
  <si>
    <t>Sold</t>
  </si>
  <si>
    <t>Actual</t>
  </si>
  <si>
    <t>QTY DOC</t>
  </si>
  <si>
    <t>Ship Date</t>
  </si>
  <si>
    <t>Project Manager</t>
  </si>
  <si>
    <t>John Shaw</t>
  </si>
  <si>
    <t>Last Week</t>
  </si>
  <si>
    <t>$1,000,500 (31%)</t>
  </si>
  <si>
    <t>Lead Mech ENG</t>
  </si>
  <si>
    <t>Lead Elec ENG</t>
  </si>
  <si>
    <t>Mat Variance</t>
  </si>
  <si>
    <t>Comment</t>
  </si>
  <si>
    <t>Payment Terms</t>
  </si>
  <si>
    <t>Date Received</t>
  </si>
  <si>
    <t>Elec MFG</t>
  </si>
  <si>
    <t>Down Payment</t>
  </si>
  <si>
    <t>Mech MFG</t>
  </si>
  <si>
    <t>Upon P&amp;ID approval</t>
  </si>
  <si>
    <t>Sales Rep</t>
  </si>
  <si>
    <t>Upon GA Approval</t>
  </si>
  <si>
    <t>Upon FAT completion</t>
  </si>
  <si>
    <t>Upon Sat Completion</t>
  </si>
  <si>
    <t>Part #</t>
  </si>
  <si>
    <t>Description</t>
  </si>
  <si>
    <t>Date Due</t>
  </si>
  <si>
    <t>Engineering Docs</t>
  </si>
  <si>
    <t>Vault Status</t>
  </si>
  <si>
    <t>ENG/ Date</t>
  </si>
  <si>
    <t>Quality Docs</t>
  </si>
  <si>
    <t>URS</t>
  </si>
  <si>
    <t>Op-Manual</t>
  </si>
  <si>
    <t>Op-Manual T</t>
  </si>
  <si>
    <t>cGMP</t>
  </si>
  <si>
    <t>Comp Binder</t>
  </si>
  <si>
    <t>Control Panel DWG</t>
  </si>
  <si>
    <t>IQ/OQ</t>
  </si>
  <si>
    <t>Drive Panel DWG</t>
  </si>
  <si>
    <t>SAT</t>
  </si>
  <si>
    <t>Control Panel Schmatics</t>
  </si>
  <si>
    <t>Test Book</t>
  </si>
  <si>
    <t>Drive Panel Schmatics</t>
  </si>
  <si>
    <t>Pneumatic Integration</t>
  </si>
  <si>
    <t>Open DMRs</t>
  </si>
  <si>
    <t>Closed DMRs</t>
  </si>
  <si>
    <t>ECOs</t>
  </si>
  <si>
    <t>Pneumatic Schematics</t>
  </si>
  <si>
    <t>P&amp;ID Tag List</t>
  </si>
  <si>
    <t>Alarm List</t>
  </si>
  <si>
    <t>VFD's</t>
  </si>
  <si>
    <t>I/O List</t>
  </si>
  <si>
    <t>Interlocks</t>
  </si>
  <si>
    <t>CIP Matrix</t>
  </si>
  <si>
    <t>Electrical Integration</t>
  </si>
  <si>
    <t>TBD</t>
  </si>
  <si>
    <t>N/A</t>
  </si>
  <si>
    <t>Available</t>
  </si>
  <si>
    <t>$420,500 (33%)</t>
  </si>
  <si>
    <t>Used+To use</t>
  </si>
  <si>
    <t>$426,246 (34%)</t>
  </si>
  <si>
    <t>Software Listing</t>
  </si>
  <si>
    <t>XA Database</t>
  </si>
  <si>
    <t>Machine</t>
  </si>
  <si>
    <t>MFG Comp</t>
  </si>
  <si>
    <t>Updated</t>
  </si>
  <si>
    <t>ME Comp</t>
  </si>
  <si>
    <t>OpMan</t>
  </si>
  <si>
    <t>TransOpMan</t>
  </si>
  <si>
    <t>Comp</t>
  </si>
  <si>
    <t>IQOQ</t>
  </si>
  <si>
    <t>Test</t>
  </si>
  <si>
    <t>PID</t>
  </si>
  <si>
    <t>ContPanelDWG</t>
  </si>
  <si>
    <t>DrivePanelDWG</t>
  </si>
  <si>
    <t>ContPanelSchem</t>
  </si>
  <si>
    <t>DrivePanelSchem</t>
  </si>
  <si>
    <t>PneumInt</t>
  </si>
  <si>
    <t>PneumSchem</t>
  </si>
  <si>
    <t>PIDTags</t>
  </si>
  <si>
    <t>Alarms</t>
  </si>
  <si>
    <t>VFD</t>
  </si>
  <si>
    <t>IO</t>
  </si>
  <si>
    <t>CIP</t>
  </si>
  <si>
    <t>ElecInt</t>
  </si>
  <si>
    <t>Status/Date</t>
  </si>
  <si>
    <t>Scorecard
Updated</t>
  </si>
  <si>
    <t>Product
Line</t>
  </si>
  <si>
    <t>Margins</t>
  </si>
  <si>
    <t>EE/SW Comp</t>
  </si>
  <si>
    <t>ENG Comments</t>
  </si>
  <si>
    <t>ASSY Comments</t>
  </si>
  <si>
    <t>??? Comments</t>
  </si>
  <si>
    <t>Innovax</t>
  </si>
  <si>
    <t>C0788P18</t>
  </si>
  <si>
    <t>M642790</t>
  </si>
  <si>
    <t>Joe Kolcun</t>
  </si>
  <si>
    <t>Matt B</t>
  </si>
  <si>
    <t>Ryan B</t>
  </si>
  <si>
    <t>Prime: Jerry C, Paul G</t>
  </si>
  <si>
    <t>Jerry C, Paul G</t>
  </si>
  <si>
    <t>J. Blahnko</t>
  </si>
  <si>
    <t xml:space="preserve">  </t>
  </si>
  <si>
    <t>CARR</t>
  </si>
  <si>
    <t>$3,323,978 (85%)</t>
  </si>
  <si>
    <t>C500315</t>
  </si>
  <si>
    <t>CARTRIDGE, FILTER</t>
  </si>
  <si>
    <t>2021 Jun 28</t>
  </si>
  <si>
    <t>C481869</t>
  </si>
  <si>
    <t>HOSE ASSY,SIL,1",90x90,51.01"L</t>
  </si>
  <si>
    <t>2021 Jun 23</t>
  </si>
  <si>
    <t>C481871</t>
  </si>
  <si>
    <t>HOSE ASSY,SIL,1",90x90,40.68"L</t>
  </si>
  <si>
    <t>C481872</t>
  </si>
  <si>
    <t>HOSE ASSY SIL,1", STRx45x37.4"</t>
  </si>
  <si>
    <t>C500889</t>
  </si>
  <si>
    <t>AB 5" EMFLON PFR FILTER 0.2MM</t>
  </si>
  <si>
    <t>2021 Jun 11</t>
  </si>
  <si>
    <t>C343167</t>
  </si>
  <si>
    <t>SINAMICS G120C 3HP VFD</t>
  </si>
  <si>
    <t>2021 May 19</t>
  </si>
  <si>
    <t>C100382</t>
  </si>
  <si>
    <t>O-RING, 13.565 ID X .210 DIA</t>
  </si>
  <si>
    <t>2021 May 18</t>
  </si>
  <si>
    <t>C65803249</t>
  </si>
  <si>
    <t>FRAME, WELDMENT, FEED PUMP</t>
  </si>
  <si>
    <t>2021 May 14</t>
  </si>
  <si>
    <t>C65803251</t>
  </si>
  <si>
    <t>BRACKET, SUPPORT</t>
  </si>
  <si>
    <t>C65803250</t>
  </si>
  <si>
    <t>WELDMENT, SANITARY TUBING</t>
  </si>
  <si>
    <t>2021 May 12</t>
  </si>
  <si>
    <t>C200023</t>
  </si>
  <si>
    <t>INFLATABLE SEAL 15" C.L. DIA.</t>
  </si>
  <si>
    <t>C481928</t>
  </si>
  <si>
    <t>LOADSURE ELEMENT, 800 SERIES</t>
  </si>
  <si>
    <t>2021 May 07</t>
  </si>
  <si>
    <t>C321401</t>
  </si>
  <si>
    <t>PUMP ASSY, 825G 29 LPM</t>
  </si>
  <si>
    <t>C65901784</t>
  </si>
  <si>
    <t>SUPPORT, FEED PUMP</t>
  </si>
  <si>
    <t>Complete</t>
  </si>
  <si>
    <t>Final-TBD</t>
  </si>
  <si>
    <t>3 wks after Final DDS, dwgs release</t>
  </si>
  <si>
    <t>C0788P18FRS.doc</t>
  </si>
  <si>
    <t>Released</t>
  </si>
  <si>
    <t>Due: 16-Nov-2020</t>
  </si>
  <si>
    <t>C65500650.SLDDRW</t>
  </si>
  <si>
    <t>Due: 20-Nov-2020</t>
  </si>
  <si>
    <t>1 wks after Final DDS, etc release</t>
  </si>
  <si>
    <t>C65500649.dwg</t>
  </si>
  <si>
    <t>1 wk after as built drawings released</t>
  </si>
  <si>
    <t>C65791076 - 6.dwg</t>
  </si>
  <si>
    <t>C65791077 - 6.dwg</t>
  </si>
  <si>
    <t>C65701070 - 1.dwg</t>
  </si>
  <si>
    <t>Done</t>
  </si>
  <si>
    <t>Submitted to MFG</t>
  </si>
  <si>
    <t>C65701071 - 4.dwg</t>
  </si>
  <si>
    <t>C65791163.SLDASM</t>
  </si>
  <si>
    <t>C65701072.dwg</t>
  </si>
  <si>
    <t>Completed</t>
  </si>
  <si>
    <t>C0788P18DDS.docx</t>
  </si>
  <si>
    <t>C0788P18ALM.xlsm</t>
  </si>
  <si>
    <t>C0788P18SY00</t>
  </si>
  <si>
    <t>???</t>
  </si>
  <si>
    <t>C0788P18IO.xlsm</t>
  </si>
  <si>
    <t>C0788P18ILK.xlsm</t>
  </si>
  <si>
    <t>C0788P18CIP.xlsx</t>
  </si>
  <si>
    <t>GSK Italy</t>
  </si>
  <si>
    <t>M248070</t>
  </si>
  <si>
    <t>Fiji</t>
  </si>
  <si>
    <t>Efrain R</t>
  </si>
  <si>
    <t>Darris S, Tommy S, Paul</t>
  </si>
  <si>
    <t>P. Matulowitz</t>
  </si>
  <si>
    <t>$1,539,794 (66%)</t>
  </si>
  <si>
    <t>C63500649</t>
  </si>
  <si>
    <t>PRESS BDRY CAT 3 PED P12 INSL.</t>
  </si>
  <si>
    <t>2021 Dec 22</t>
  </si>
  <si>
    <t>C63801564</t>
  </si>
  <si>
    <t>BRACKET, PIPE SUPPORT</t>
  </si>
  <si>
    <t>2021 Jul 08</t>
  </si>
  <si>
    <t>C63801839</t>
  </si>
  <si>
    <t>C63801850</t>
  </si>
  <si>
    <t>C63802058</t>
  </si>
  <si>
    <t>C63802121</t>
  </si>
  <si>
    <t>BRACKET WELDMENT</t>
  </si>
  <si>
    <t>C63802154</t>
  </si>
  <si>
    <t>SUPPORT BRACKET WELDMENT</t>
  </si>
  <si>
    <t>C63802323</t>
  </si>
  <si>
    <t>BRACKET SUPPORT WELDMENT</t>
  </si>
  <si>
    <t>C63803405</t>
  </si>
  <si>
    <t>C63803406</t>
  </si>
  <si>
    <t>C63803417</t>
  </si>
  <si>
    <t>WELDMENT, SUPPORT BRACKE</t>
  </si>
  <si>
    <t>C63803424</t>
  </si>
  <si>
    <t>WELDMENT, BRACKET</t>
  </si>
  <si>
    <t>C63803427</t>
  </si>
  <si>
    <t>WELDMENT, SUPPORT BRACKET</t>
  </si>
  <si>
    <t>C63803430</t>
  </si>
  <si>
    <t>WELDMENT, FRAME SUPPORT</t>
  </si>
  <si>
    <t>C63803431</t>
  </si>
  <si>
    <t>C63803432</t>
  </si>
  <si>
    <t>C63803434</t>
  </si>
  <si>
    <t>C63901840</t>
  </si>
  <si>
    <t>BRCKT, INSTRUMENT TEE SUPPORT</t>
  </si>
  <si>
    <t>C401334</t>
  </si>
  <si>
    <t>VALVE,DIA.,SA,.75-.5,ITT</t>
  </si>
  <si>
    <t>2021 Jul 06</t>
  </si>
  <si>
    <t>3 wks after Final DDS and module delivery</t>
  </si>
  <si>
    <t>ITALIAN OP MAN</t>
  </si>
  <si>
    <t>Prelim (In Progress)</t>
  </si>
  <si>
    <t>C63791156-P.xlsx</t>
  </si>
  <si>
    <t>Due: 23-Sep-2021</t>
  </si>
  <si>
    <t>3 wks after Final DDS, etc release</t>
  </si>
  <si>
    <t>Due: 18-Jul-2021</t>
  </si>
  <si>
    <t>Due: 26-Sep-2021</t>
  </si>
  <si>
    <t>KeyGen</t>
  </si>
  <si>
    <t>C0828UNI</t>
  </si>
  <si>
    <t>M212600</t>
  </si>
  <si>
    <t>Antarctica</t>
  </si>
  <si>
    <t>Phon D</t>
  </si>
  <si>
    <t>Jim D</t>
  </si>
  <si>
    <t>M. Pahl</t>
  </si>
  <si>
    <t xml:space="preserve">  Build started. Working on shipping at the end of March.</t>
  </si>
  <si>
    <t>$193,000 (100%)</t>
  </si>
  <si>
    <t>$177,200 (91%)</t>
  </si>
  <si>
    <t xml:space="preserve">Final-TBD has Scada and Nat router </t>
  </si>
  <si>
    <t>2 wks after Final DDS, etc release</t>
  </si>
  <si>
    <t>C0828UNIFRS.docx</t>
  </si>
  <si>
    <t>Due: 06-Feb-2021</t>
  </si>
  <si>
    <t>W/C61390184</t>
  </si>
  <si>
    <t>Prelim (Complete)</t>
  </si>
  <si>
    <t>C61500671.dwg</t>
  </si>
  <si>
    <t>C61700928-1.dwg</t>
  </si>
  <si>
    <t>Due: 31-Mar-2021</t>
  </si>
  <si>
    <t>C61700949-4.dwg</t>
  </si>
  <si>
    <t>C61700546.dwg</t>
  </si>
  <si>
    <t>C0828UNIDDS.docx</t>
  </si>
  <si>
    <t>C0828UNIALM.docx</t>
  </si>
  <si>
    <t>Due: 30-Jan-2021</t>
  </si>
  <si>
    <t>C0828UNISY00.docx</t>
  </si>
  <si>
    <t>C0828UNIIO.docx</t>
  </si>
  <si>
    <t>C0828UNIINTLK.docx</t>
  </si>
  <si>
    <t>C61791089-1.dwg</t>
  </si>
  <si>
    <t>Northern NRA</t>
  </si>
  <si>
    <t>C0841MIN</t>
  </si>
  <si>
    <t>M296810</t>
  </si>
  <si>
    <t>Libya</t>
  </si>
  <si>
    <t>Alkis K</t>
  </si>
  <si>
    <t>Eric F</t>
  </si>
  <si>
    <t>M. Lowpehz</t>
  </si>
  <si>
    <t xml:space="preserve">  Pushed back into April 14th due to motor delivery issue</t>
  </si>
  <si>
    <t>$65,000 (100%)</t>
  </si>
  <si>
    <t>$59,460 (91%)</t>
  </si>
  <si>
    <t>C0789P18</t>
  </si>
  <si>
    <t>M642800</t>
  </si>
  <si>
    <t>C280092</t>
  </si>
  <si>
    <t>SHOCK MOUNTS</t>
  </si>
  <si>
    <t>2021 Jul 30</t>
  </si>
  <si>
    <t>C500231</t>
  </si>
  <si>
    <t>SHIPPING SKID, CENTRIFUGE</t>
  </si>
  <si>
    <t>2021 Jun 30</t>
  </si>
  <si>
    <t>C500232</t>
  </si>
  <si>
    <t>SHIPPING CRATE,P18 BRG &amp; XFER</t>
  </si>
  <si>
    <t>C500233</t>
  </si>
  <si>
    <t>SHIPPING CRATE, P18 BOWL&amp;CONE</t>
  </si>
  <si>
    <t>C500234</t>
  </si>
  <si>
    <t>SHIPPING CRATE, P18 DRIVE PNL</t>
  </si>
  <si>
    <t>C500235</t>
  </si>
  <si>
    <t>SHIPPING CRATE, P18 CTRL PNL</t>
  </si>
  <si>
    <t>C200077</t>
  </si>
  <si>
    <t>SEAL, DOUBLE MECH GAS P18</t>
  </si>
  <si>
    <t>2021 Jun 04</t>
  </si>
  <si>
    <t>C280124</t>
  </si>
  <si>
    <t>CLAMP, 1</t>
  </si>
  <si>
    <t>2021 May 26</t>
  </si>
  <si>
    <t>C100377</t>
  </si>
  <si>
    <t>O-RING 9.975 I.D. X .55</t>
  </si>
  <si>
    <t>C100471</t>
  </si>
  <si>
    <t>O-RING 21.955 ID X .275</t>
  </si>
  <si>
    <t>C341342</t>
  </si>
  <si>
    <t>SENSOR RUP DISK ALERT 1-1/2"</t>
  </si>
  <si>
    <t>2021 May 25</t>
  </si>
  <si>
    <t>C500095</t>
  </si>
  <si>
    <t>SPINDLE, P18</t>
  </si>
  <si>
    <t>2021 May 24</t>
  </si>
  <si>
    <t>C340770</t>
  </si>
  <si>
    <t>RTD 3-WIRE PT100 2.5" 90 DEG</t>
  </si>
  <si>
    <t>2 wks after Final DDS, dwgs release</t>
  </si>
  <si>
    <t>C0789P18FRS.docx</t>
  </si>
  <si>
    <t xml:space="preserve">Done </t>
  </si>
  <si>
    <t>C65791163.SLDDRW</t>
  </si>
  <si>
    <t>Due: 22-Feb-2021</t>
  </si>
  <si>
    <t>C0789P18DDS.docx</t>
  </si>
  <si>
    <t>C0789P18ALM</t>
  </si>
  <si>
    <t>C0789P18SY00</t>
  </si>
  <si>
    <t>C0789P18IO</t>
  </si>
  <si>
    <t>C0789P18ILK</t>
  </si>
  <si>
    <t>C0789P18CIP</t>
  </si>
  <si>
    <t>C0793P18</t>
  </si>
  <si>
    <t>C0793P18FRS.doc</t>
  </si>
  <si>
    <t>C0793P18DDS.docx</t>
  </si>
  <si>
    <t>C0793P18ALM.xlsm</t>
  </si>
  <si>
    <t>C0793P18SY00</t>
  </si>
  <si>
    <t>C0793P18IO.xlsm</t>
  </si>
  <si>
    <t>C0793P18ILK.xlsm</t>
  </si>
  <si>
    <t>C0793P18CIP</t>
  </si>
  <si>
    <t>Carr</t>
  </si>
  <si>
    <t>Unknown/Avail.</t>
  </si>
  <si>
    <t>C0834P12</t>
  </si>
  <si>
    <t>$1,866,894 (80%)</t>
  </si>
  <si>
    <t>$891,851 (38%)</t>
  </si>
  <si>
    <t>C340829</t>
  </si>
  <si>
    <t>RTD 3-WIRE PT100 1.125" PROBE</t>
  </si>
  <si>
    <t>2021 Jul 26</t>
  </si>
  <si>
    <t>C63803344</t>
  </si>
  <si>
    <t>WELDMENT SANITARY TUBING</t>
  </si>
  <si>
    <t>2021 Jul 22</t>
  </si>
  <si>
    <t>C342610</t>
  </si>
  <si>
    <t>ASi CABLE 0DEG, (M)TO(F), SS,</t>
  </si>
  <si>
    <t>2021 Jul 15</t>
  </si>
  <si>
    <t>C342612</t>
  </si>
  <si>
    <t>ASi CABLE 0DEG,(M)TO(F),SS,3M</t>
  </si>
  <si>
    <t>8 weeks after English</t>
  </si>
  <si>
    <t>Electrical Engineering Review</t>
  </si>
  <si>
    <t>$3,368,498 (86%)</t>
  </si>
  <si>
    <t>$1,735,901 (44%)</t>
  </si>
  <si>
    <t>2021 Jun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</si>
</sst>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"/>
    <numFmt numFmtId="165" formatCode="dd\ mmm\ yyyy"/>
    <numFmt numFmtId="166" formatCode="[$-409]d\-mmm\-yyyy;@"/>
    <numFmt numFmtId="167" formatCode="m/d/yy;@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9"/>
      <color theme="0"/>
      <name val="Calibri"/>
      <family val="2"/>
      <scheme val="minor"/>
    </font>
    <font>
      <b/>
      <sz val="24"/>
      <color rgb="FF9C57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FFFF"/>
        <bgColor indexed="64"/>
      </patternFill>
    </fill>
  </fills>
  <borders count="1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indexed="64"/>
      </bottom>
      <diagonal/>
    </border>
    <border>
      <left style="thin">
        <color indexed="64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0000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medium">
        <color rgb="FF000000"/>
      </bottom>
      <diagonal/>
    </border>
    <border>
      <left style="thin">
        <color indexed="64"/>
      </left>
      <right style="medium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rgb="FF000000"/>
      </top>
      <bottom style="thin">
        <color indexed="64"/>
      </bottom>
      <diagonal/>
    </border>
    <border>
      <left/>
      <right/>
      <top style="medium">
        <color rgb="FF000000"/>
      </top>
      <bottom style="thin">
        <color indexed="64"/>
      </bottom>
      <diagonal/>
    </border>
    <border>
      <left/>
      <right style="thin">
        <color indexed="64"/>
      </right>
      <top style="medium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</cellStyleXfs>
  <cellXfs count="438">
    <xf numFmtId="0" fontId="0" fillId="0" borderId="0" xfId="0"/>
    <xf numFmtId="0" fontId="0" fillId="0" borderId="0" xfId="0" applyAlignment="1">
      <alignment horizontal="center"/>
    </xf>
    <xf numFmtId="0" fontId="5" fillId="0" borderId="0" xfId="0" applyFont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9" fontId="0" fillId="0" borderId="0" xfId="1" applyFont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0" fillId="0" borderId="66" xfId="0" applyBorder="1"/>
    <xf numFmtId="9" fontId="5" fillId="0" borderId="0" xfId="1" applyFont="1" applyAlignment="1">
      <alignment vertical="center"/>
    </xf>
    <xf numFmtId="0" fontId="0" fillId="0" borderId="0" xfId="0" applyAlignment="1">
      <alignment horizontal="center" vertical="center" shrinkToFit="1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 shrinkToFit="1"/>
    </xf>
    <xf numFmtId="0" fontId="0" fillId="0" borderId="99" xfId="0" applyFill="1" applyBorder="1" applyAlignment="1">
      <alignment horizontal="center" vertical="center"/>
    </xf>
    <xf numFmtId="0" fontId="0" fillId="0" borderId="105" xfId="0" applyFill="1" applyBorder="1" applyAlignment="1">
      <alignment horizontal="center" vertical="center"/>
    </xf>
    <xf numFmtId="0" fontId="0" fillId="6" borderId="32" xfId="0" applyFill="1" applyBorder="1" applyAlignment="1">
      <alignment horizontal="center" vertical="center"/>
    </xf>
    <xf numFmtId="165" fontId="6" fillId="0" borderId="52" xfId="0" applyNumberFormat="1" applyFont="1" applyFill="1" applyBorder="1" applyAlignment="1">
      <alignment horizontal="center" vertical="center"/>
    </xf>
    <xf numFmtId="9" fontId="0" fillId="0" borderId="34" xfId="0" applyNumberFormat="1" applyFill="1" applyBorder="1" applyAlignment="1">
      <alignment horizontal="center" vertical="center"/>
    </xf>
    <xf numFmtId="9" fontId="0" fillId="0" borderId="106" xfId="0" applyNumberFormat="1" applyFill="1" applyBorder="1" applyAlignment="1">
      <alignment horizontal="center" vertical="center"/>
    </xf>
    <xf numFmtId="0" fontId="0" fillId="0" borderId="77" xfId="0" applyFill="1" applyBorder="1" applyAlignment="1">
      <alignment horizontal="center" vertical="center"/>
    </xf>
    <xf numFmtId="0" fontId="0" fillId="0" borderId="78" xfId="0" applyFill="1" applyBorder="1" applyAlignment="1">
      <alignment horizontal="center" vertical="center"/>
    </xf>
    <xf numFmtId="0" fontId="0" fillId="0" borderId="57" xfId="0" applyFill="1" applyBorder="1" applyAlignment="1">
      <alignment horizontal="center" vertical="center"/>
    </xf>
    <xf numFmtId="0" fontId="0" fillId="0" borderId="58" xfId="0" applyFill="1" applyBorder="1" applyAlignment="1">
      <alignment horizontal="center" vertical="center"/>
    </xf>
    <xf numFmtId="0" fontId="9" fillId="8" borderId="49" xfId="0" applyFont="1" applyFill="1" applyBorder="1" applyAlignment="1">
      <alignment horizontal="center" vertical="center"/>
    </xf>
    <xf numFmtId="9" fontId="9" fillId="8" borderId="50" xfId="1" applyFont="1" applyFill="1" applyBorder="1" applyAlignment="1">
      <alignment horizontal="center" vertical="center"/>
    </xf>
    <xf numFmtId="0" fontId="9" fillId="8" borderId="76" xfId="0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9" fillId="8" borderId="56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10" xfId="0" applyFont="1" applyFill="1" applyBorder="1" applyAlignment="1">
      <alignment horizontal="center" vertical="center"/>
    </xf>
    <xf numFmtId="0" fontId="9" fillId="8" borderId="17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/>
    </xf>
    <xf numFmtId="0" fontId="9" fillId="8" borderId="40" xfId="0" applyFont="1" applyFill="1" applyBorder="1" applyAlignment="1">
      <alignment horizontal="center" vertical="center"/>
    </xf>
    <xf numFmtId="0" fontId="6" fillId="0" borderId="20" xfId="3" applyFont="1" applyFill="1" applyBorder="1" applyAlignment="1">
      <alignment horizontal="center" vertical="center"/>
    </xf>
    <xf numFmtId="0" fontId="6" fillId="0" borderId="21" xfId="3" applyFont="1" applyFill="1" applyBorder="1" applyAlignment="1">
      <alignment horizontal="center" vertical="center"/>
    </xf>
    <xf numFmtId="0" fontId="6" fillId="0" borderId="20" xfId="2" applyFont="1" applyFill="1" applyBorder="1" applyAlignment="1">
      <alignment horizontal="center" vertical="center"/>
    </xf>
    <xf numFmtId="0" fontId="6" fillId="0" borderId="23" xfId="2" applyFont="1" applyFill="1" applyBorder="1" applyAlignment="1">
      <alignment horizontal="center" vertical="center"/>
    </xf>
    <xf numFmtId="0" fontId="6" fillId="0" borderId="21" xfId="2" applyFont="1" applyFill="1" applyBorder="1" applyAlignment="1">
      <alignment horizontal="center" vertical="center"/>
    </xf>
    <xf numFmtId="0" fontId="6" fillId="0" borderId="23" xfId="3" applyFont="1" applyFill="1" applyBorder="1" applyAlignment="1">
      <alignment horizontal="center" vertical="center"/>
    </xf>
    <xf numFmtId="0" fontId="6" fillId="0" borderId="17" xfId="3" applyFont="1" applyFill="1" applyBorder="1" applyAlignment="1">
      <alignment horizontal="center" vertical="center"/>
    </xf>
    <xf numFmtId="0" fontId="6" fillId="0" borderId="18" xfId="3" applyFont="1" applyFill="1" applyBorder="1" applyAlignment="1">
      <alignment horizontal="center" vertical="center"/>
    </xf>
    <xf numFmtId="0" fontId="6" fillId="0" borderId="24" xfId="3" applyFont="1" applyFill="1" applyBorder="1" applyAlignment="1">
      <alignment horizontal="center" vertical="center"/>
    </xf>
    <xf numFmtId="0" fontId="6" fillId="0" borderId="25" xfId="3" applyFont="1" applyFill="1" applyBorder="1" applyAlignment="1">
      <alignment horizontal="center" vertical="center"/>
    </xf>
    <xf numFmtId="0" fontId="6" fillId="0" borderId="55" xfId="0" applyFont="1" applyFill="1" applyBorder="1" applyAlignment="1">
      <alignment horizontal="center" vertical="center"/>
    </xf>
    <xf numFmtId="0" fontId="6" fillId="0" borderId="55" xfId="3" applyFont="1" applyFill="1" applyBorder="1" applyAlignment="1">
      <alignment horizontal="center" vertical="center"/>
    </xf>
    <xf numFmtId="0" fontId="6" fillId="0" borderId="68" xfId="3" applyFont="1" applyFill="1" applyBorder="1" applyAlignment="1">
      <alignment horizontal="center" vertical="center"/>
    </xf>
    <xf numFmtId="0" fontId="9" fillId="8" borderId="13" xfId="0" applyFont="1" applyFill="1" applyBorder="1" applyAlignment="1">
      <alignment horizontal="center" vertical="center"/>
    </xf>
    <xf numFmtId="0" fontId="9" fillId="8" borderId="62" xfId="0" applyFont="1" applyFill="1" applyBorder="1" applyAlignment="1">
      <alignment horizontal="center" vertical="center"/>
    </xf>
    <xf numFmtId="0" fontId="9" fillId="8" borderId="6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9" fillId="8" borderId="36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5" fontId="6" fillId="0" borderId="54" xfId="0" applyNumberFormat="1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67" fontId="0" fillId="0" borderId="0" xfId="0" applyNumberFormat="1"/>
    <xf numFmtId="9" fontId="0" fillId="0" borderId="0" xfId="1" applyFont="1"/>
    <xf numFmtId="166" fontId="0" fillId="0" borderId="34" xfId="0" applyNumberFormat="1" applyFill="1" applyBorder="1" applyAlignment="1">
      <alignment horizontal="center" vertical="center"/>
    </xf>
    <xf numFmtId="0" fontId="8" fillId="8" borderId="38" xfId="0" applyFont="1" applyFill="1" applyBorder="1" applyAlignment="1">
      <alignment horizontal="center" vertical="center"/>
    </xf>
    <xf numFmtId="0" fontId="8" fillId="8" borderId="40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65" fontId="8" fillId="0" borderId="0" xfId="0" applyNumberFormat="1" applyFont="1" applyAlignment="1">
      <alignment vertical="center"/>
    </xf>
    <xf numFmtId="165" fontId="8" fillId="0" borderId="0" xfId="0" applyNumberFormat="1" applyFont="1" applyBorder="1" applyAlignment="1">
      <alignment vertical="center"/>
    </xf>
    <xf numFmtId="0" fontId="0" fillId="0" borderId="2" xfId="0" applyFill="1" applyBorder="1" applyAlignment="1">
      <alignment horizontal="center" vertical="center" shrinkToFit="1"/>
    </xf>
    <xf numFmtId="0" fontId="0" fillId="0" borderId="6" xfId="0" applyFill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0" fontId="0" fillId="0" borderId="18" xfId="0" applyFill="1" applyBorder="1" applyAlignment="1">
      <alignment horizontal="center" vertical="center" shrinkToFit="1"/>
    </xf>
    <xf numFmtId="0" fontId="0" fillId="0" borderId="0" xfId="0" applyFill="1" applyAlignment="1">
      <alignment horizontal="center" vertical="center" shrinkToFit="1"/>
    </xf>
    <xf numFmtId="164" fontId="0" fillId="0" borderId="37" xfId="0" applyNumberFormat="1" applyFill="1" applyBorder="1" applyAlignment="1">
      <alignment horizontal="center" vertical="center" shrinkToFit="1"/>
    </xf>
    <xf numFmtId="165" fontId="0" fillId="0" borderId="39" xfId="0" applyNumberFormat="1" applyFill="1" applyBorder="1" applyAlignment="1">
      <alignment horizontal="center" vertical="center" shrinkToFit="1"/>
    </xf>
    <xf numFmtId="165" fontId="0" fillId="0" borderId="42" xfId="0" applyNumberFormat="1" applyFill="1" applyBorder="1" applyAlignment="1">
      <alignment horizontal="center" vertical="center" shrinkToFit="1"/>
    </xf>
    <xf numFmtId="165" fontId="0" fillId="0" borderId="0" xfId="0" applyNumberFormat="1" applyFill="1" applyAlignment="1">
      <alignment horizontal="center" vertical="center" shrinkToFit="1"/>
    </xf>
    <xf numFmtId="0" fontId="0" fillId="0" borderId="37" xfId="0" applyFill="1" applyBorder="1" applyAlignment="1">
      <alignment horizontal="center" vertical="center" shrinkToFit="1"/>
    </xf>
    <xf numFmtId="0" fontId="0" fillId="0" borderId="39" xfId="0" applyFill="1" applyBorder="1" applyAlignment="1">
      <alignment horizontal="center" vertical="center" shrinkToFit="1"/>
    </xf>
    <xf numFmtId="0" fontId="0" fillId="0" borderId="42" xfId="0" applyFill="1" applyBorder="1" applyAlignment="1">
      <alignment horizontal="center" vertical="center" shrinkToFit="1"/>
    </xf>
    <xf numFmtId="166" fontId="0" fillId="0" borderId="41" xfId="0" applyNumberFormat="1" applyFill="1" applyBorder="1" applyAlignment="1">
      <alignment horizontal="center" vertical="center"/>
    </xf>
    <xf numFmtId="9" fontId="6" fillId="0" borderId="6" xfId="2" applyNumberFormat="1" applyFont="1" applyFill="1" applyBorder="1" applyAlignment="1">
      <alignment horizontal="center" vertical="center"/>
    </xf>
    <xf numFmtId="9" fontId="6" fillId="0" borderId="6" xfId="4" applyNumberFormat="1" applyFont="1" applyFill="1" applyBorder="1" applyAlignment="1">
      <alignment horizontal="center" vertical="center"/>
    </xf>
    <xf numFmtId="9" fontId="6" fillId="0" borderId="18" xfId="3" applyNumberFormat="1" applyFont="1" applyFill="1" applyBorder="1" applyAlignment="1">
      <alignment horizontal="center" vertical="center"/>
    </xf>
    <xf numFmtId="164" fontId="6" fillId="0" borderId="111" xfId="2" applyNumberFormat="1" applyFont="1" applyFill="1" applyBorder="1" applyAlignment="1">
      <alignment horizontal="center"/>
    </xf>
    <xf numFmtId="0" fontId="0" fillId="0" borderId="51" xfId="0" applyFill="1" applyBorder="1" applyAlignment="1">
      <alignment horizontal="center" vertical="center" shrinkToFit="1"/>
    </xf>
    <xf numFmtId="0" fontId="0" fillId="0" borderId="53" xfId="0" applyFill="1" applyBorder="1" applyAlignment="1">
      <alignment horizontal="center" vertical="center" shrinkToFit="1"/>
    </xf>
    <xf numFmtId="0" fontId="13" fillId="0" borderId="0" xfId="0" applyFont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15" fontId="14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9" fillId="8" borderId="7" xfId="0" applyFont="1" applyFill="1" applyBorder="1" applyAlignment="1">
      <alignment horizontal="center" vertical="center"/>
    </xf>
    <xf numFmtId="166" fontId="0" fillId="0" borderId="34" xfId="0" applyNumberFormat="1" applyFill="1" applyBorder="1" applyAlignment="1">
      <alignment horizontal="center" vertical="center"/>
    </xf>
    <xf numFmtId="0" fontId="9" fillId="8" borderId="36" xfId="0" applyFont="1" applyFill="1" applyBorder="1" applyAlignment="1">
      <alignment horizontal="center" vertical="center"/>
    </xf>
    <xf numFmtId="0" fontId="8" fillId="8" borderId="38" xfId="0" applyFont="1" applyFill="1" applyBorder="1" applyAlignment="1">
      <alignment horizontal="center" vertical="center"/>
    </xf>
    <xf numFmtId="0" fontId="0" fillId="0" borderId="39" xfId="0" applyFill="1" applyBorder="1" applyAlignment="1">
      <alignment horizontal="center" vertical="center" shrinkToFit="1"/>
    </xf>
    <xf numFmtId="0" fontId="9" fillId="8" borderId="35" xfId="0" applyFont="1" applyFill="1" applyBorder="1" applyAlignment="1">
      <alignment horizontal="center" vertical="center"/>
    </xf>
    <xf numFmtId="0" fontId="0" fillId="0" borderId="42" xfId="0" applyFill="1" applyBorder="1" applyAlignment="1">
      <alignment horizontal="center" vertical="center" shrinkToFit="1"/>
    </xf>
    <xf numFmtId="0" fontId="0" fillId="0" borderId="0" xfId="0" applyFill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8" fillId="8" borderId="40" xfId="0" applyFont="1" applyFill="1" applyBorder="1" applyAlignment="1">
      <alignment horizontal="center" vertical="center"/>
    </xf>
    <xf numFmtId="0" fontId="9" fillId="8" borderId="65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36" xfId="0" applyFont="1" applyFill="1" applyBorder="1" applyAlignment="1">
      <alignment horizontal="center" vertical="center"/>
    </xf>
    <xf numFmtId="0" fontId="8" fillId="8" borderId="38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8" fillId="8" borderId="40" xfId="0" applyFont="1" applyFill="1" applyBorder="1" applyAlignment="1">
      <alignment horizontal="center" vertical="center"/>
    </xf>
    <xf numFmtId="0" fontId="9" fillId="8" borderId="65" xfId="0" applyFont="1" applyFill="1" applyBorder="1" applyAlignment="1">
      <alignment horizontal="center" vertical="center"/>
    </xf>
    <xf numFmtId="0" fontId="0" fillId="5" borderId="34" xfId="0" applyFill="1" applyBorder="1" applyAlignment="1">
      <alignment horizontal="center" vertical="center"/>
    </xf>
    <xf numFmtId="0" fontId="0" fillId="9" borderId="32" xfId="0" applyFill="1" applyBorder="1" applyAlignment="1">
      <alignment horizontal="center" vertical="center"/>
    </xf>
    <xf numFmtId="0" fontId="0" fillId="10" borderId="34" xfId="0" applyFill="1" applyBorder="1" applyAlignment="1">
      <alignment horizontal="center" vertical="center"/>
    </xf>
    <xf numFmtId="0" fontId="0" fillId="11" borderId="32" xfId="0" applyFill="1" applyBorder="1" applyAlignment="1">
      <alignment horizontal="center" vertical="center"/>
    </xf>
    <xf numFmtId="0" fontId="0" fillId="12" borderId="3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 shrinkToFit="1"/>
    </xf>
    <xf numFmtId="0" fontId="0" fillId="6" borderId="6" xfId="0" applyFill="1" applyBorder="1" applyAlignment="1">
      <alignment horizontal="center" vertical="center" shrinkToFit="1"/>
    </xf>
    <xf numFmtId="0" fontId="0" fillId="6" borderId="11" xfId="0" applyFill="1" applyBorder="1" applyAlignment="1">
      <alignment horizontal="center" vertical="center" shrinkToFit="1"/>
    </xf>
    <xf numFmtId="0" fontId="0" fillId="6" borderId="18" xfId="0" applyFill="1" applyBorder="1" applyAlignment="1">
      <alignment horizontal="center" vertical="center" shrinkToFit="1"/>
    </xf>
    <xf numFmtId="164" fontId="0" fillId="6" borderId="37" xfId="0" applyNumberFormat="1" applyFill="1" applyBorder="1" applyAlignment="1">
      <alignment horizontal="center" vertical="center" shrinkToFit="1"/>
    </xf>
    <xf numFmtId="165" fontId="0" fillId="6" borderId="39" xfId="0" applyNumberFormat="1" applyFill="1" applyBorder="1" applyAlignment="1">
      <alignment horizontal="center" vertical="center" shrinkToFit="1"/>
    </xf>
    <xf numFmtId="165" fontId="0" fillId="6" borderId="42" xfId="0" applyNumberFormat="1" applyFill="1" applyBorder="1" applyAlignment="1">
      <alignment horizontal="center" vertical="center" shrinkToFit="1"/>
    </xf>
    <xf numFmtId="0" fontId="0" fillId="6" borderId="37" xfId="0" applyFill="1" applyBorder="1" applyAlignment="1">
      <alignment horizontal="center" vertical="center" shrinkToFit="1"/>
    </xf>
    <xf numFmtId="0" fontId="0" fillId="6" borderId="39" xfId="0" applyFill="1" applyBorder="1" applyAlignment="1">
      <alignment horizontal="center" vertical="center" shrinkToFit="1"/>
    </xf>
    <xf numFmtId="0" fontId="0" fillId="6" borderId="42" xfId="0" applyFill="1" applyBorder="1" applyAlignment="1">
      <alignment horizontal="center" vertical="center" shrinkToFit="1"/>
    </xf>
    <xf numFmtId="0" fontId="6" fillId="6" borderId="55" xfId="0" applyFont="1" applyFill="1" applyBorder="1" applyAlignment="1">
      <alignment horizontal="center" vertical="center"/>
    </xf>
    <xf numFmtId="9" fontId="6" fillId="12" borderId="6" xfId="2" applyNumberFormat="1" applyFont="1" applyFill="1" applyBorder="1" applyAlignment="1">
      <alignment horizontal="center" vertical="center"/>
    </xf>
    <xf numFmtId="9" fontId="6" fillId="12" borderId="6" xfId="4" applyNumberFormat="1" applyFont="1" applyFill="1" applyBorder="1" applyAlignment="1">
      <alignment horizontal="center" vertical="center"/>
    </xf>
    <xf numFmtId="9" fontId="6" fillId="12" borderId="18" xfId="3" applyNumberFormat="1" applyFont="1" applyFill="1" applyBorder="1" applyAlignment="1">
      <alignment horizontal="center" vertical="center"/>
    </xf>
    <xf numFmtId="0" fontId="6" fillId="12" borderId="21" xfId="3" applyFont="1" applyFill="1" applyBorder="1" applyAlignment="1">
      <alignment horizontal="center" vertical="center"/>
    </xf>
    <xf numFmtId="0" fontId="6" fillId="12" borderId="23" xfId="2" applyFont="1" applyFill="1" applyBorder="1" applyAlignment="1">
      <alignment horizontal="center" vertical="center"/>
    </xf>
    <xf numFmtId="0" fontId="6" fillId="12" borderId="21" xfId="2" applyFont="1" applyFill="1" applyBorder="1" applyAlignment="1">
      <alignment horizontal="center" vertical="center"/>
    </xf>
    <xf numFmtId="0" fontId="6" fillId="12" borderId="23" xfId="3" applyFont="1" applyFill="1" applyBorder="1" applyAlignment="1">
      <alignment horizontal="center" vertical="center"/>
    </xf>
    <xf numFmtId="0" fontId="6" fillId="12" borderId="18" xfId="3" applyFont="1" applyFill="1" applyBorder="1" applyAlignment="1">
      <alignment horizontal="center" vertical="center"/>
    </xf>
    <xf numFmtId="0" fontId="6" fillId="12" borderId="25" xfId="3" applyFont="1" applyFill="1" applyBorder="1" applyAlignment="1">
      <alignment horizontal="center" vertical="center"/>
    </xf>
    <xf numFmtId="0" fontId="6" fillId="11" borderId="20" xfId="3" applyFont="1" applyFill="1" applyBorder="1" applyAlignment="1">
      <alignment horizontal="center" vertical="center"/>
    </xf>
    <xf numFmtId="0" fontId="6" fillId="11" borderId="20" xfId="2" applyFont="1" applyFill="1" applyBorder="1" applyAlignment="1">
      <alignment horizontal="center" vertical="center"/>
    </xf>
    <xf numFmtId="0" fontId="6" fillId="11" borderId="17" xfId="3" applyFont="1" applyFill="1" applyBorder="1" applyAlignment="1">
      <alignment horizontal="center" vertical="center"/>
    </xf>
    <xf numFmtId="0" fontId="6" fillId="11" borderId="24" xfId="3" applyFont="1" applyFill="1" applyBorder="1" applyAlignment="1">
      <alignment horizontal="center" vertical="center"/>
    </xf>
    <xf numFmtId="0" fontId="0" fillId="11" borderId="51" xfId="0" applyFill="1" applyBorder="1" applyAlignment="1">
      <alignment horizontal="center" vertical="center" shrinkToFit="1"/>
    </xf>
    <xf numFmtId="165" fontId="6" fillId="11" borderId="52" xfId="0" applyNumberFormat="1" applyFont="1" applyFill="1" applyBorder="1" applyAlignment="1">
      <alignment horizontal="center" vertical="center"/>
    </xf>
    <xf numFmtId="0" fontId="0" fillId="11" borderId="53" xfId="0" applyFill="1" applyBorder="1" applyAlignment="1">
      <alignment horizontal="center" vertical="center" shrinkToFit="1"/>
    </xf>
    <xf numFmtId="165" fontId="6" fillId="11" borderId="54" xfId="0" applyNumberFormat="1" applyFont="1" applyFill="1" applyBorder="1" applyAlignment="1">
      <alignment horizontal="center" vertical="center"/>
    </xf>
    <xf numFmtId="9" fontId="0" fillId="11" borderId="34" xfId="0" applyNumberFormat="1" applyFill="1" applyBorder="1" applyAlignment="1">
      <alignment horizontal="center" vertical="center"/>
    </xf>
    <xf numFmtId="9" fontId="0" fillId="11" borderId="106" xfId="0" applyNumberFormat="1" applyFill="1" applyBorder="1" applyAlignment="1">
      <alignment horizontal="center" vertical="center"/>
    </xf>
    <xf numFmtId="0" fontId="6" fillId="7" borderId="55" xfId="3" applyFont="1" applyFill="1" applyBorder="1" applyAlignment="1">
      <alignment horizontal="center" vertical="center"/>
    </xf>
    <xf numFmtId="164" fontId="6" fillId="7" borderId="111" xfId="2" applyNumberFormat="1" applyFont="1" applyFill="1" applyBorder="1" applyAlignment="1">
      <alignment horizontal="center"/>
    </xf>
    <xf numFmtId="0" fontId="6" fillId="7" borderId="68" xfId="3" applyFont="1" applyFill="1" applyBorder="1" applyAlignment="1">
      <alignment horizontal="center" vertical="center"/>
    </xf>
    <xf numFmtId="166" fontId="0" fillId="10" borderId="34" xfId="0" applyNumberFormat="1" applyFill="1" applyBorder="1" applyAlignment="1">
      <alignment horizontal="center" vertical="center"/>
    </xf>
    <xf numFmtId="166" fontId="0" fillId="10" borderId="41" xfId="0" applyNumberFormat="1" applyFill="1" applyBorder="1" applyAlignment="1">
      <alignment horizontal="center" vertical="center"/>
    </xf>
    <xf numFmtId="0" fontId="0" fillId="10" borderId="77" xfId="0" applyFill="1" applyBorder="1" applyAlignment="1">
      <alignment horizontal="center" vertical="center"/>
    </xf>
    <xf numFmtId="0" fontId="0" fillId="10" borderId="78" xfId="0" applyFill="1" applyBorder="1" applyAlignment="1">
      <alignment horizontal="center" vertical="center"/>
    </xf>
    <xf numFmtId="0" fontId="0" fillId="9" borderId="57" xfId="0" applyFill="1" applyBorder="1" applyAlignment="1">
      <alignment horizontal="center" vertical="center"/>
    </xf>
    <xf numFmtId="0" fontId="0" fillId="9" borderId="58" xfId="0" applyFill="1" applyBorder="1" applyAlignment="1">
      <alignment horizontal="center" vertical="center"/>
    </xf>
    <xf numFmtId="166" fontId="6" fillId="7" borderId="2" xfId="0" applyNumberFormat="1" applyFont="1" applyFill="1" applyBorder="1" applyAlignment="1">
      <alignment horizontal="center" vertical="center"/>
    </xf>
    <xf numFmtId="0" fontId="9" fillId="8" borderId="3" xfId="0" applyFont="1" applyFill="1" applyBorder="1" applyAlignment="1">
      <alignment horizontal="center" vertical="center" wrapText="1"/>
    </xf>
    <xf numFmtId="0" fontId="8" fillId="8" borderId="4" xfId="0" applyFont="1" applyFill="1" applyBorder="1" applyAlignment="1">
      <alignment horizontal="center" vertical="center"/>
    </xf>
    <xf numFmtId="0" fontId="8" fillId="8" borderId="69" xfId="0" applyFont="1" applyFill="1" applyBorder="1" applyAlignment="1">
      <alignment horizontal="center" vertical="center"/>
    </xf>
    <xf numFmtId="0" fontId="8" fillId="8" borderId="71" xfId="0" applyFont="1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65" xfId="0" applyFill="1" applyBorder="1" applyAlignment="1">
      <alignment horizontal="center" vertical="center"/>
    </xf>
    <xf numFmtId="0" fontId="0" fillId="0" borderId="71" xfId="0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10" fillId="8" borderId="9" xfId="0" applyFont="1" applyFill="1" applyBorder="1" applyAlignment="1">
      <alignment horizontal="center" vertical="center"/>
    </xf>
    <xf numFmtId="0" fontId="10" fillId="8" borderId="79" xfId="0" applyFont="1" applyFill="1" applyBorder="1" applyAlignment="1">
      <alignment horizontal="center" vertical="center"/>
    </xf>
    <xf numFmtId="0" fontId="11" fillId="4" borderId="12" xfId="4" applyFont="1" applyBorder="1" applyAlignment="1">
      <alignment horizontal="center" vertical="center" wrapText="1"/>
    </xf>
    <xf numFmtId="0" fontId="11" fillId="4" borderId="19" xfId="4" applyFont="1" applyBorder="1" applyAlignment="1">
      <alignment horizontal="center" vertical="center" wrapText="1"/>
    </xf>
    <xf numFmtId="164" fontId="6" fillId="0" borderId="14" xfId="0" applyNumberFormat="1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6" fillId="0" borderId="13" xfId="0" applyFont="1" applyFill="1" applyBorder="1" applyAlignment="1">
      <alignment horizontal="center" vertical="center"/>
    </xf>
    <xf numFmtId="0" fontId="6" fillId="0" borderId="108" xfId="0" applyFont="1" applyFill="1" applyBorder="1" applyAlignment="1">
      <alignment horizontal="center" vertical="center"/>
    </xf>
    <xf numFmtId="0" fontId="6" fillId="0" borderId="110" xfId="0" applyFont="1" applyFill="1" applyBorder="1" applyAlignment="1">
      <alignment horizontal="center" vertical="center"/>
    </xf>
    <xf numFmtId="164" fontId="6" fillId="0" borderId="14" xfId="2" applyNumberFormat="1" applyFont="1" applyFill="1" applyBorder="1" applyAlignment="1">
      <alignment horizontal="center" vertical="center"/>
    </xf>
    <xf numFmtId="0" fontId="6" fillId="0" borderId="5" xfId="3" applyFont="1" applyFill="1" applyBorder="1" applyAlignment="1">
      <alignment horizontal="center" vertical="center"/>
    </xf>
    <xf numFmtId="0" fontId="6" fillId="0" borderId="5" xfId="2" applyFont="1" applyFill="1" applyBorder="1" applyAlignment="1">
      <alignment horizontal="center" vertical="center"/>
    </xf>
    <xf numFmtId="0" fontId="6" fillId="0" borderId="13" xfId="2" applyFont="1" applyFill="1" applyBorder="1" applyAlignment="1">
      <alignment horizontal="center" vertical="center"/>
    </xf>
    <xf numFmtId="0" fontId="6" fillId="0" borderId="108" xfId="2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8" fillId="8" borderId="61" xfId="0" applyFont="1" applyFill="1" applyBorder="1" applyAlignment="1">
      <alignment horizontal="center" vertical="center"/>
    </xf>
    <xf numFmtId="0" fontId="8" fillId="8" borderId="27" xfId="0" applyFont="1" applyFill="1" applyBorder="1" applyAlignment="1">
      <alignment horizontal="center" vertical="center"/>
    </xf>
    <xf numFmtId="0" fontId="8" fillId="8" borderId="26" xfId="0" applyFont="1" applyFill="1" applyBorder="1" applyAlignment="1">
      <alignment horizontal="center" vertical="center"/>
    </xf>
    <xf numFmtId="0" fontId="8" fillId="8" borderId="70" xfId="0" applyFont="1" applyFill="1" applyBorder="1" applyAlignment="1">
      <alignment horizontal="center" vertical="center"/>
    </xf>
    <xf numFmtId="0" fontId="8" fillId="8" borderId="67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6" fillId="0" borderId="13" xfId="3" applyFont="1" applyFill="1" applyBorder="1" applyAlignment="1">
      <alignment horizontal="center" vertical="center"/>
    </xf>
    <xf numFmtId="0" fontId="6" fillId="0" borderId="108" xfId="3" applyFont="1" applyFill="1" applyBorder="1" applyAlignment="1">
      <alignment horizontal="center" vertical="center"/>
    </xf>
    <xf numFmtId="0" fontId="6" fillId="0" borderId="110" xfId="3" applyFont="1" applyFill="1" applyBorder="1" applyAlignment="1">
      <alignment horizontal="center" vertical="center"/>
    </xf>
    <xf numFmtId="164" fontId="6" fillId="0" borderId="63" xfId="2" applyNumberFormat="1" applyFont="1" applyFill="1" applyBorder="1" applyAlignment="1">
      <alignment horizontal="center" vertical="center"/>
    </xf>
    <xf numFmtId="0" fontId="6" fillId="0" borderId="10" xfId="2" applyFont="1" applyFill="1" applyBorder="1" applyAlignment="1">
      <alignment horizontal="center" vertical="center"/>
    </xf>
    <xf numFmtId="0" fontId="6" fillId="0" borderId="10" xfId="3" applyFont="1" applyFill="1" applyBorder="1" applyAlignment="1">
      <alignment horizontal="center" vertical="center"/>
    </xf>
    <xf numFmtId="0" fontId="6" fillId="0" borderId="62" xfId="3" applyFont="1" applyFill="1" applyBorder="1" applyAlignment="1">
      <alignment horizontal="center" vertical="center"/>
    </xf>
    <xf numFmtId="0" fontId="6" fillId="0" borderId="17" xfId="2" applyFont="1" applyFill="1" applyBorder="1" applyAlignment="1">
      <alignment horizontal="center" vertical="center"/>
    </xf>
    <xf numFmtId="0" fontId="6" fillId="0" borderId="109" xfId="2" applyFont="1" applyFill="1" applyBorder="1" applyAlignment="1">
      <alignment horizontal="center" vertical="center"/>
    </xf>
    <xf numFmtId="0" fontId="6" fillId="0" borderId="62" xfId="2" applyFont="1" applyFill="1" applyBorder="1" applyAlignment="1">
      <alignment horizontal="center" vertical="center"/>
    </xf>
    <xf numFmtId="0" fontId="6" fillId="0" borderId="111" xfId="2" applyFont="1" applyFill="1" applyBorder="1" applyAlignment="1">
      <alignment horizontal="center" vertical="center"/>
    </xf>
    <xf numFmtId="164" fontId="3" fillId="3" borderId="10" xfId="3" applyNumberFormat="1" applyBorder="1" applyAlignment="1">
      <alignment horizontal="center" vertical="center"/>
    </xf>
    <xf numFmtId="164" fontId="3" fillId="3" borderId="93" xfId="3" applyNumberFormat="1" applyBorder="1" applyAlignment="1">
      <alignment horizontal="center" vertical="center"/>
    </xf>
    <xf numFmtId="164" fontId="3" fillId="3" borderId="94" xfId="3" applyNumberFormat="1" applyBorder="1" applyAlignment="1">
      <alignment horizontal="center" vertical="center"/>
    </xf>
    <xf numFmtId="0" fontId="0" fillId="0" borderId="64" xfId="0" applyFill="1" applyBorder="1" applyAlignment="1">
      <alignment horizontal="center" vertical="center" wrapText="1" shrinkToFit="1"/>
    </xf>
    <xf numFmtId="0" fontId="0" fillId="0" borderId="63" xfId="0" applyFill="1" applyBorder="1" applyAlignment="1">
      <alignment horizontal="center" vertical="center" wrapText="1" shrinkToFit="1"/>
    </xf>
    <xf numFmtId="0" fontId="0" fillId="0" borderId="91" xfId="0" applyFill="1" applyBorder="1" applyAlignment="1">
      <alignment horizontal="center" vertical="center" wrapText="1" shrinkToFit="1"/>
    </xf>
    <xf numFmtId="0" fontId="0" fillId="0" borderId="92" xfId="0" applyFill="1" applyBorder="1" applyAlignment="1">
      <alignment horizontal="center" vertical="center" wrapText="1" shrinkToFit="1"/>
    </xf>
    <xf numFmtId="0" fontId="0" fillId="0" borderId="0" xfId="0" applyFill="1" applyBorder="1" applyAlignment="1">
      <alignment horizontal="center" vertical="center" wrapText="1" shrinkToFit="1"/>
    </xf>
    <xf numFmtId="0" fontId="0" fillId="0" borderId="31" xfId="0" applyFill="1" applyBorder="1" applyAlignment="1">
      <alignment horizontal="center" vertical="center" wrapText="1" shrinkToFit="1"/>
    </xf>
    <xf numFmtId="0" fontId="0" fillId="0" borderId="23" xfId="0" applyFill="1" applyBorder="1" applyAlignment="1">
      <alignment horizontal="center" vertical="center" wrapText="1" shrinkToFit="1"/>
    </xf>
    <xf numFmtId="0" fontId="0" fillId="0" borderId="22" xfId="0" applyFill="1" applyBorder="1" applyAlignment="1">
      <alignment horizontal="center" vertical="center" wrapText="1" shrinkToFit="1"/>
    </xf>
    <xf numFmtId="0" fontId="0" fillId="0" borderId="33" xfId="0" applyFill="1" applyBorder="1" applyAlignment="1">
      <alignment horizontal="center" vertical="center" wrapText="1" shrinkToFit="1"/>
    </xf>
    <xf numFmtId="0" fontId="0" fillId="0" borderId="34" xfId="0" applyFill="1" applyBorder="1" applyAlignment="1">
      <alignment vertical="center"/>
    </xf>
    <xf numFmtId="166" fontId="6" fillId="0" borderId="34" xfId="2" applyNumberFormat="1" applyFont="1" applyFill="1" applyBorder="1" applyAlignment="1">
      <alignment horizontal="center" vertical="center"/>
    </xf>
    <xf numFmtId="166" fontId="6" fillId="0" borderId="100" xfId="2" applyNumberFormat="1" applyFont="1" applyFill="1" applyBorder="1" applyAlignment="1">
      <alignment horizontal="center" vertical="center"/>
    </xf>
    <xf numFmtId="166" fontId="0" fillId="0" borderId="34" xfId="0" applyNumberFormat="1" applyFill="1" applyBorder="1" applyAlignment="1">
      <alignment horizontal="center" vertical="center"/>
    </xf>
    <xf numFmtId="166" fontId="0" fillId="0" borderId="100" xfId="0" applyNumberFormat="1" applyFill="1" applyBorder="1" applyAlignment="1">
      <alignment horizontal="center" vertical="center"/>
    </xf>
    <xf numFmtId="0" fontId="6" fillId="0" borderId="69" xfId="2" applyFont="1" applyFill="1" applyBorder="1" applyAlignment="1">
      <alignment horizontal="center" vertical="center"/>
    </xf>
    <xf numFmtId="0" fontId="6" fillId="0" borderId="65" xfId="2" applyFont="1" applyFill="1" applyBorder="1" applyAlignment="1">
      <alignment horizontal="center" vertical="center"/>
    </xf>
    <xf numFmtId="0" fontId="6" fillId="0" borderId="69" xfId="3" applyFont="1" applyFill="1" applyBorder="1" applyAlignment="1">
      <alignment horizontal="center" vertical="center"/>
    </xf>
    <xf numFmtId="0" fontId="6" fillId="0" borderId="67" xfId="3" applyFont="1" applyFill="1" applyBorder="1" applyAlignment="1">
      <alignment horizontal="center" vertical="center"/>
    </xf>
    <xf numFmtId="0" fontId="9" fillId="8" borderId="29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9" fillId="8" borderId="9" xfId="0" applyFont="1" applyFill="1" applyBorder="1" applyAlignment="1">
      <alignment horizontal="center" vertical="center"/>
    </xf>
    <xf numFmtId="0" fontId="9" fillId="8" borderId="95" xfId="0" applyFont="1" applyFill="1" applyBorder="1" applyAlignment="1">
      <alignment horizontal="center" vertical="center"/>
    </xf>
    <xf numFmtId="0" fontId="9" fillId="8" borderId="96" xfId="0" applyFont="1" applyFill="1" applyBorder="1" applyAlignment="1">
      <alignment horizontal="center" vertical="center"/>
    </xf>
    <xf numFmtId="0" fontId="8" fillId="8" borderId="97" xfId="0" applyFont="1" applyFill="1" applyBorder="1" applyAlignment="1">
      <alignment horizontal="center" vertical="center"/>
    </xf>
    <xf numFmtId="0" fontId="8" fillId="8" borderId="98" xfId="0" applyFont="1" applyFill="1" applyBorder="1" applyAlignment="1">
      <alignment horizontal="center" vertical="center"/>
    </xf>
    <xf numFmtId="164" fontId="6" fillId="0" borderId="66" xfId="2" applyNumberFormat="1" applyFont="1" applyFill="1" applyBorder="1" applyAlignment="1">
      <alignment horizontal="center" vertical="center"/>
    </xf>
    <xf numFmtId="0" fontId="6" fillId="0" borderId="65" xfId="3" applyFont="1" applyFill="1" applyBorder="1" applyAlignment="1">
      <alignment horizontal="center" vertical="center"/>
    </xf>
    <xf numFmtId="0" fontId="9" fillId="8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left" vertical="center"/>
    </xf>
    <xf numFmtId="0" fontId="6" fillId="0" borderId="14" xfId="0" applyFont="1" applyFill="1" applyBorder="1" applyAlignment="1">
      <alignment horizontal="left" vertical="center"/>
    </xf>
    <xf numFmtId="0" fontId="6" fillId="0" borderId="16" xfId="0" applyFont="1" applyFill="1" applyBorder="1" applyAlignment="1">
      <alignment horizontal="left" vertical="center"/>
    </xf>
    <xf numFmtId="0" fontId="8" fillId="8" borderId="38" xfId="0" applyFont="1" applyFill="1" applyBorder="1" applyAlignment="1">
      <alignment horizontal="center" vertical="center"/>
    </xf>
    <xf numFmtId="0" fontId="8" fillId="8" borderId="34" xfId="0" applyFont="1" applyFill="1" applyBorder="1" applyAlignment="1">
      <alignment horizontal="center" vertical="center"/>
    </xf>
    <xf numFmtId="0" fontId="0" fillId="0" borderId="43" xfId="0" applyFill="1" applyBorder="1" applyAlignment="1">
      <alignment horizontal="center" vertical="center" shrinkToFit="1"/>
    </xf>
    <xf numFmtId="0" fontId="0" fillId="0" borderId="44" xfId="0" applyFill="1" applyBorder="1" applyAlignment="1">
      <alignment horizontal="center" vertical="center" shrinkToFit="1"/>
    </xf>
    <xf numFmtId="0" fontId="0" fillId="0" borderId="45" xfId="0" applyFill="1" applyBorder="1" applyAlignment="1">
      <alignment horizontal="center" vertical="center" shrinkToFit="1"/>
    </xf>
    <xf numFmtId="0" fontId="0" fillId="0" borderId="43" xfId="0" applyFill="1" applyBorder="1" applyAlignment="1">
      <alignment horizontal="left" vertical="center"/>
    </xf>
    <xf numFmtId="0" fontId="0" fillId="0" borderId="44" xfId="0" applyFill="1" applyBorder="1" applyAlignment="1">
      <alignment horizontal="left" vertical="center"/>
    </xf>
    <xf numFmtId="0" fontId="0" fillId="0" borderId="87" xfId="0" applyFill="1" applyBorder="1" applyAlignment="1">
      <alignment horizontal="left" vertical="center"/>
    </xf>
    <xf numFmtId="0" fontId="0" fillId="0" borderId="34" xfId="0" applyFill="1" applyBorder="1" applyAlignment="1">
      <alignment horizontal="center" vertical="center" shrinkToFit="1"/>
    </xf>
    <xf numFmtId="0" fontId="0" fillId="0" borderId="39" xfId="0" applyFill="1" applyBorder="1" applyAlignment="1">
      <alignment horizontal="center" vertical="center" shrinkToFit="1"/>
    </xf>
    <xf numFmtId="0" fontId="0" fillId="0" borderId="26" xfId="0" applyFont="1" applyFill="1" applyBorder="1" applyAlignment="1">
      <alignment horizontal="center" vertical="center"/>
    </xf>
    <xf numFmtId="0" fontId="0" fillId="0" borderId="27" xfId="0" applyFont="1" applyFill="1" applyBorder="1" applyAlignment="1">
      <alignment horizontal="center" vertical="center"/>
    </xf>
    <xf numFmtId="0" fontId="0" fillId="0" borderId="28" xfId="0" applyFont="1" applyFill="1" applyBorder="1" applyAlignment="1">
      <alignment horizontal="center" vertical="center"/>
    </xf>
    <xf numFmtId="0" fontId="0" fillId="0" borderId="20" xfId="0" applyFont="1" applyFill="1" applyBorder="1" applyAlignment="1">
      <alignment horizontal="center" vertical="center"/>
    </xf>
    <xf numFmtId="0" fontId="0" fillId="0" borderId="22" xfId="0" applyFont="1" applyFill="1" applyBorder="1" applyAlignment="1">
      <alignment horizontal="center" vertical="center"/>
    </xf>
    <xf numFmtId="0" fontId="0" fillId="0" borderId="33" xfId="0" applyFont="1" applyFill="1" applyBorder="1" applyAlignment="1">
      <alignment horizontal="center" vertical="center"/>
    </xf>
    <xf numFmtId="0" fontId="0" fillId="0" borderId="106" xfId="0" applyFill="1" applyBorder="1" applyAlignment="1">
      <alignment vertical="center"/>
    </xf>
    <xf numFmtId="166" fontId="0" fillId="0" borderId="106" xfId="0" applyNumberFormat="1" applyFill="1" applyBorder="1" applyAlignment="1">
      <alignment horizontal="center" vertical="center"/>
    </xf>
    <xf numFmtId="166" fontId="0" fillId="0" borderId="107" xfId="0" applyNumberFormat="1" applyFill="1" applyBorder="1" applyAlignment="1">
      <alignment horizontal="center" vertical="center"/>
    </xf>
    <xf numFmtId="0" fontId="9" fillId="8" borderId="72" xfId="0" applyFont="1" applyFill="1" applyBorder="1" applyAlignment="1">
      <alignment horizontal="center" vertical="center"/>
    </xf>
    <xf numFmtId="0" fontId="9" fillId="8" borderId="73" xfId="0" applyFont="1" applyFill="1" applyBorder="1" applyAlignment="1">
      <alignment horizontal="center" vertical="center"/>
    </xf>
    <xf numFmtId="0" fontId="9" fillId="8" borderId="74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6" xfId="0" applyFont="1" applyFill="1" applyBorder="1" applyAlignment="1">
      <alignment horizontal="center" vertical="center" shrinkToFit="1"/>
    </xf>
    <xf numFmtId="0" fontId="9" fillId="8" borderId="88" xfId="0" applyFont="1" applyFill="1" applyBorder="1" applyAlignment="1">
      <alignment horizontal="center" vertical="center"/>
    </xf>
    <xf numFmtId="0" fontId="9" fillId="8" borderId="89" xfId="0" applyFont="1" applyFill="1" applyBorder="1" applyAlignment="1">
      <alignment horizontal="center" vertical="center"/>
    </xf>
    <xf numFmtId="0" fontId="9" fillId="8" borderId="90" xfId="0" applyFont="1" applyFill="1" applyBorder="1" applyAlignment="1">
      <alignment horizontal="center" vertical="center"/>
    </xf>
    <xf numFmtId="0" fontId="0" fillId="0" borderId="101" xfId="0" applyFill="1" applyBorder="1" applyAlignment="1">
      <alignment horizontal="center" vertical="center"/>
    </xf>
    <xf numFmtId="0" fontId="0" fillId="0" borderId="103" xfId="0" applyFill="1" applyBorder="1" applyAlignment="1">
      <alignment horizontal="center" vertical="center"/>
    </xf>
    <xf numFmtId="9" fontId="0" fillId="0" borderId="59" xfId="0" applyNumberFormat="1" applyFill="1" applyBorder="1" applyAlignment="1">
      <alignment horizontal="center" vertical="center"/>
    </xf>
    <xf numFmtId="9" fontId="0" fillId="0" borderId="60" xfId="0" applyNumberFormat="1" applyFill="1" applyBorder="1" applyAlignment="1">
      <alignment horizontal="center" vertical="center"/>
    </xf>
    <xf numFmtId="0" fontId="0" fillId="0" borderId="80" xfId="0" applyFill="1" applyBorder="1" applyAlignment="1">
      <alignment horizontal="left" vertical="center"/>
    </xf>
    <xf numFmtId="0" fontId="0" fillId="0" borderId="81" xfId="0" applyFill="1" applyBorder="1" applyAlignment="1">
      <alignment horizontal="left" vertical="center"/>
    </xf>
    <xf numFmtId="0" fontId="0" fillId="0" borderId="82" xfId="0" applyFill="1" applyBorder="1" applyAlignment="1">
      <alignment horizontal="left" vertical="center"/>
    </xf>
    <xf numFmtId="0" fontId="0" fillId="0" borderId="83" xfId="0" applyFill="1" applyBorder="1" applyAlignment="1">
      <alignment horizontal="left" vertical="center"/>
    </xf>
    <xf numFmtId="0" fontId="0" fillId="0" borderId="84" xfId="0" applyFill="1" applyBorder="1" applyAlignment="1">
      <alignment horizontal="left" vertical="center"/>
    </xf>
    <xf numFmtId="0" fontId="0" fillId="0" borderId="85" xfId="0" applyFill="1" applyBorder="1" applyAlignment="1">
      <alignment horizontal="left" vertical="center"/>
    </xf>
    <xf numFmtId="166" fontId="0" fillId="0" borderId="80" xfId="0" applyNumberFormat="1" applyFill="1" applyBorder="1" applyAlignment="1">
      <alignment horizontal="center" vertical="center"/>
    </xf>
    <xf numFmtId="166" fontId="0" fillId="0" borderId="81" xfId="0" applyNumberFormat="1" applyFill="1" applyBorder="1" applyAlignment="1">
      <alignment horizontal="center" vertical="center"/>
    </xf>
    <xf numFmtId="166" fontId="0" fillId="0" borderId="102" xfId="0" applyNumberFormat="1" applyFill="1" applyBorder="1" applyAlignment="1">
      <alignment horizontal="center" vertical="center"/>
    </xf>
    <xf numFmtId="166" fontId="0" fillId="0" borderId="83" xfId="0" applyNumberFormat="1" applyFill="1" applyBorder="1" applyAlignment="1">
      <alignment horizontal="center" vertical="center"/>
    </xf>
    <xf numFmtId="166" fontId="0" fillId="0" borderId="84" xfId="0" applyNumberFormat="1" applyFill="1" applyBorder="1" applyAlignment="1">
      <alignment horizontal="center" vertical="center"/>
    </xf>
    <xf numFmtId="166" fontId="0" fillId="0" borderId="104" xfId="0" applyNumberFormat="1" applyFill="1" applyBorder="1" applyAlignment="1">
      <alignment horizontal="center" vertical="center"/>
    </xf>
    <xf numFmtId="0" fontId="0" fillId="0" borderId="41" xfId="0" applyFill="1" applyBorder="1" applyAlignment="1">
      <alignment horizontal="center" vertical="center" shrinkToFit="1"/>
    </xf>
    <xf numFmtId="0" fontId="0" fillId="0" borderId="42" xfId="0" applyFill="1" applyBorder="1" applyAlignment="1">
      <alignment horizontal="center" vertical="center" shrinkToFit="1"/>
    </xf>
    <xf numFmtId="0" fontId="8" fillId="8" borderId="77" xfId="0" applyFont="1" applyFill="1" applyBorder="1" applyAlignment="1">
      <alignment horizontal="center" vertical="center"/>
    </xf>
    <xf numFmtId="0" fontId="8" fillId="8" borderId="44" xfId="0" applyFont="1" applyFill="1" applyBorder="1" applyAlignment="1">
      <alignment horizontal="center" vertical="center"/>
    </xf>
    <xf numFmtId="0" fontId="8" fillId="8" borderId="45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9" fillId="8" borderId="2" xfId="0" applyFont="1" applyFill="1" applyBorder="1" applyAlignment="1">
      <alignment horizontal="center" vertical="center"/>
    </xf>
    <xf numFmtId="0" fontId="6" fillId="0" borderId="25" xfId="0" applyFont="1" applyFill="1" applyBorder="1" applyAlignment="1">
      <alignment horizontal="left" vertical="center"/>
    </xf>
    <xf numFmtId="0" fontId="6" fillId="0" borderId="75" xfId="0" applyFont="1" applyFill="1" applyBorder="1" applyAlignment="1">
      <alignment horizontal="left" vertical="center"/>
    </xf>
    <xf numFmtId="0" fontId="6" fillId="0" borderId="24" xfId="0" applyFont="1" applyFill="1" applyBorder="1" applyAlignment="1">
      <alignment horizontal="left" vertical="center"/>
    </xf>
    <xf numFmtId="0" fontId="8" fillId="8" borderId="40" xfId="0" applyFont="1" applyFill="1" applyBorder="1" applyAlignment="1">
      <alignment horizontal="center" vertical="center"/>
    </xf>
    <xf numFmtId="0" fontId="8" fillId="8" borderId="41" xfId="0" applyFont="1" applyFill="1" applyBorder="1" applyAlignment="1">
      <alignment horizontal="center" vertical="center"/>
    </xf>
    <xf numFmtId="0" fontId="0" fillId="0" borderId="46" xfId="0" applyFill="1" applyBorder="1" applyAlignment="1">
      <alignment horizontal="center" vertical="center" shrinkToFit="1"/>
    </xf>
    <xf numFmtId="0" fontId="0" fillId="0" borderId="47" xfId="0" applyFill="1" applyBorder="1" applyAlignment="1">
      <alignment horizontal="center" vertical="center" shrinkToFit="1"/>
    </xf>
    <xf numFmtId="0" fontId="0" fillId="0" borderId="48" xfId="0" applyFill="1" applyBorder="1" applyAlignment="1">
      <alignment horizontal="center" vertical="center" shrinkToFit="1"/>
    </xf>
    <xf numFmtId="0" fontId="6" fillId="0" borderId="46" xfId="0" applyFont="1" applyFill="1" applyBorder="1" applyAlignment="1">
      <alignment horizontal="center" vertical="center" shrinkToFit="1"/>
    </xf>
    <xf numFmtId="0" fontId="6" fillId="0" borderId="47" xfId="0" applyFont="1" applyFill="1" applyBorder="1" applyAlignment="1">
      <alignment horizontal="center" vertical="center" shrinkToFit="1"/>
    </xf>
    <xf numFmtId="0" fontId="6" fillId="0" borderId="48" xfId="0" applyFont="1" applyFill="1" applyBorder="1" applyAlignment="1">
      <alignment horizontal="center" vertical="center" shrinkToFit="1"/>
    </xf>
    <xf numFmtId="0" fontId="0" fillId="0" borderId="46" xfId="0" applyFill="1" applyBorder="1" applyAlignment="1">
      <alignment horizontal="left" vertical="center"/>
    </xf>
    <xf numFmtId="0" fontId="0" fillId="0" borderId="47" xfId="0" applyFill="1" applyBorder="1" applyAlignment="1">
      <alignment horizontal="left" vertical="center"/>
    </xf>
    <xf numFmtId="0" fontId="0" fillId="0" borderId="86" xfId="0" applyFill="1" applyBorder="1" applyAlignment="1">
      <alignment horizontal="left" vertical="center"/>
    </xf>
    <xf numFmtId="0" fontId="9" fillId="8" borderId="114" xfId="0" applyFont="1" applyFill="1" applyBorder="1" applyAlignment="1">
      <alignment horizontal="center" vertical="center"/>
    </xf>
    <xf numFmtId="0" fontId="9" fillId="8" borderId="66" xfId="0" applyFont="1" applyFill="1" applyBorder="1" applyAlignment="1">
      <alignment horizontal="center" vertical="center"/>
    </xf>
    <xf numFmtId="0" fontId="9" fillId="8" borderId="70" xfId="0" applyFont="1" applyFill="1" applyBorder="1" applyAlignment="1">
      <alignment horizontal="center" vertical="center"/>
    </xf>
    <xf numFmtId="0" fontId="9" fillId="8" borderId="65" xfId="0" applyFont="1" applyFill="1" applyBorder="1" applyAlignment="1">
      <alignment horizontal="center" vertical="center"/>
    </xf>
    <xf numFmtId="0" fontId="9" fillId="8" borderId="67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left" vertical="top" wrapText="1"/>
    </xf>
    <xf numFmtId="0" fontId="0" fillId="0" borderId="31" xfId="0" applyFill="1" applyBorder="1" applyAlignment="1">
      <alignment horizontal="left" vertical="top" wrapText="1"/>
    </xf>
    <xf numFmtId="0" fontId="0" fillId="0" borderId="22" xfId="0" applyFill="1" applyBorder="1" applyAlignment="1">
      <alignment horizontal="left" vertical="top" wrapText="1"/>
    </xf>
    <xf numFmtId="0" fontId="0" fillId="0" borderId="33" xfId="0" applyFill="1" applyBorder="1" applyAlignment="1">
      <alignment horizontal="left" vertical="top" wrapText="1"/>
    </xf>
    <xf numFmtId="0" fontId="0" fillId="0" borderId="92" xfId="0" applyFill="1" applyBorder="1" applyAlignment="1">
      <alignment horizontal="left" vertical="top" wrapText="1"/>
    </xf>
    <xf numFmtId="0" fontId="0" fillId="0" borderId="112" xfId="0" applyFill="1" applyBorder="1" applyAlignment="1">
      <alignment horizontal="left" vertical="top" wrapText="1"/>
    </xf>
    <xf numFmtId="0" fontId="0" fillId="0" borderId="23" xfId="0" applyFill="1" applyBorder="1" applyAlignment="1">
      <alignment horizontal="left" vertical="top" wrapText="1"/>
    </xf>
    <xf numFmtId="0" fontId="0" fillId="0" borderId="113" xfId="0" applyFill="1" applyBorder="1" applyAlignment="1">
      <alignment horizontal="left" vertical="top" wrapText="1"/>
    </xf>
    <xf numFmtId="0" fontId="0" fillId="0" borderId="30" xfId="0" applyFill="1" applyBorder="1" applyAlignment="1">
      <alignment horizontal="left" vertical="top" wrapText="1"/>
    </xf>
    <xf numFmtId="0" fontId="0" fillId="0" borderId="20" xfId="0" applyFill="1" applyBorder="1" applyAlignment="1">
      <alignment horizontal="left" vertical="top" wrapText="1"/>
    </xf>
    <xf numFmtId="0" fontId="0" fillId="0" borderId="17" xfId="0" applyFill="1" applyBorder="1" applyAlignment="1">
      <alignment horizontal="center" vertical="center"/>
    </xf>
    <xf numFmtId="0" fontId="0" fillId="0" borderId="18" xfId="0" applyFill="1" applyBorder="1" applyAlignment="1">
      <alignment horizontal="center" vertical="center"/>
    </xf>
    <xf numFmtId="0" fontId="8" fillId="7" borderId="32" xfId="0" applyFont="1" applyFill="1" applyBorder="1" applyAlignment="1">
      <alignment horizontal="center" vertical="center"/>
    </xf>
    <xf numFmtId="0" fontId="6" fillId="11" borderId="15" xfId="0" applyFont="1" applyFill="1" applyBorder="1" applyAlignment="1">
      <alignment horizontal="left" vertical="center"/>
    </xf>
    <xf numFmtId="0" fontId="6" fillId="11" borderId="14" xfId="0" applyFont="1" applyFill="1" applyBorder="1" applyAlignment="1">
      <alignment horizontal="left" vertical="center"/>
    </xf>
    <xf numFmtId="0" fontId="6" fillId="11" borderId="16" xfId="0" applyFont="1" applyFill="1" applyBorder="1" applyAlignment="1">
      <alignment horizontal="left" vertical="center"/>
    </xf>
    <xf numFmtId="0" fontId="0" fillId="10" borderId="43" xfId="0" applyFill="1" applyBorder="1" applyAlignment="1">
      <alignment horizontal="center" vertical="center" shrinkToFit="1"/>
    </xf>
    <xf numFmtId="0" fontId="0" fillId="10" borderId="44" xfId="0" applyFill="1" applyBorder="1" applyAlignment="1">
      <alignment horizontal="center" vertical="center" shrinkToFit="1"/>
    </xf>
    <xf numFmtId="0" fontId="0" fillId="10" borderId="45" xfId="0" applyFill="1" applyBorder="1" applyAlignment="1">
      <alignment horizontal="center" vertical="center" shrinkToFit="1"/>
    </xf>
    <xf numFmtId="0" fontId="0" fillId="10" borderId="43" xfId="0" applyFill="1" applyBorder="1" applyAlignment="1">
      <alignment horizontal="left" vertical="center"/>
    </xf>
    <xf numFmtId="0" fontId="0" fillId="10" borderId="44" xfId="0" applyFill="1" applyBorder="1" applyAlignment="1">
      <alignment horizontal="left" vertical="center"/>
    </xf>
    <xf numFmtId="0" fontId="0" fillId="10" borderId="87" xfId="0" applyFill="1" applyBorder="1" applyAlignment="1">
      <alignment horizontal="left" vertical="center"/>
    </xf>
    <xf numFmtId="0" fontId="6" fillId="11" borderId="25" xfId="0" applyFont="1" applyFill="1" applyBorder="1" applyAlignment="1">
      <alignment horizontal="left" vertical="center"/>
    </xf>
    <xf numFmtId="0" fontId="6" fillId="11" borderId="75" xfId="0" applyFont="1" applyFill="1" applyBorder="1" applyAlignment="1">
      <alignment horizontal="left" vertical="center"/>
    </xf>
    <xf numFmtId="0" fontId="6" fillId="11" borderId="24" xfId="0" applyFont="1" applyFill="1" applyBorder="1" applyAlignment="1">
      <alignment horizontal="left" vertical="center"/>
    </xf>
    <xf numFmtId="0" fontId="0" fillId="10" borderId="46" xfId="0" applyFill="1" applyBorder="1" applyAlignment="1">
      <alignment horizontal="center" vertical="center" shrinkToFit="1"/>
    </xf>
    <xf numFmtId="0" fontId="0" fillId="10" borderId="47" xfId="0" applyFill="1" applyBorder="1" applyAlignment="1">
      <alignment horizontal="center" vertical="center" shrinkToFit="1"/>
    </xf>
    <xf numFmtId="0" fontId="0" fillId="10" borderId="48" xfId="0" applyFill="1" applyBorder="1" applyAlignment="1">
      <alignment horizontal="center" vertical="center" shrinkToFit="1"/>
    </xf>
    <xf numFmtId="0" fontId="6" fillId="10" borderId="46" xfId="0" applyFont="1" applyFill="1" applyBorder="1" applyAlignment="1">
      <alignment horizontal="center" vertical="center" shrinkToFit="1"/>
    </xf>
    <xf numFmtId="0" fontId="6" fillId="10" borderId="47" xfId="0" applyFont="1" applyFill="1" applyBorder="1" applyAlignment="1">
      <alignment horizontal="center" vertical="center" shrinkToFit="1"/>
    </xf>
    <xf numFmtId="0" fontId="6" fillId="10" borderId="48" xfId="0" applyFont="1" applyFill="1" applyBorder="1" applyAlignment="1">
      <alignment horizontal="center" vertical="center" shrinkToFit="1"/>
    </xf>
    <xf numFmtId="0" fontId="0" fillId="10" borderId="46" xfId="0" applyFill="1" applyBorder="1" applyAlignment="1">
      <alignment horizontal="left" vertical="center"/>
    </xf>
    <xf numFmtId="0" fontId="0" fillId="10" borderId="47" xfId="0" applyFill="1" applyBorder="1" applyAlignment="1">
      <alignment horizontal="left" vertical="center"/>
    </xf>
    <xf numFmtId="0" fontId="0" fillId="10" borderId="86" xfId="0" applyFill="1" applyBorder="1" applyAlignment="1">
      <alignment horizontal="left" vertical="center"/>
    </xf>
    <xf numFmtId="0" fontId="0" fillId="10" borderId="17" xfId="0" applyFill="1" applyBorder="1" applyAlignment="1">
      <alignment horizontal="center" vertical="center"/>
    </xf>
    <xf numFmtId="0" fontId="0" fillId="10" borderId="18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0" fillId="10" borderId="41" xfId="0" applyFill="1" applyBorder="1" applyAlignment="1">
      <alignment horizontal="center" vertical="center" shrinkToFit="1"/>
    </xf>
    <xf numFmtId="0" fontId="0" fillId="10" borderId="42" xfId="0" applyFill="1" applyBorder="1" applyAlignment="1">
      <alignment horizontal="center" vertical="center" shrinkToFit="1"/>
    </xf>
    <xf numFmtId="0" fontId="0" fillId="10" borderId="34" xfId="0" applyFill="1" applyBorder="1" applyAlignment="1">
      <alignment horizontal="center" vertical="center" shrinkToFit="1"/>
    </xf>
    <xf numFmtId="0" fontId="0" fillId="10" borderId="39" xfId="0" applyFill="1" applyBorder="1" applyAlignment="1">
      <alignment horizontal="center" vertical="center" shrinkToFit="1"/>
    </xf>
    <xf numFmtId="9" fontId="0" fillId="11" borderId="59" xfId="0" applyNumberFormat="1" applyFill="1" applyBorder="1" applyAlignment="1">
      <alignment horizontal="center" vertical="center"/>
    </xf>
    <xf numFmtId="9" fontId="0" fillId="11" borderId="60" xfId="0" applyNumberFormat="1" applyFill="1" applyBorder="1" applyAlignment="1">
      <alignment horizontal="center" vertical="center"/>
    </xf>
    <xf numFmtId="0" fontId="0" fillId="11" borderId="80" xfId="0" applyFill="1" applyBorder="1" applyAlignment="1">
      <alignment horizontal="left" vertical="center"/>
    </xf>
    <xf numFmtId="0" fontId="0" fillId="11" borderId="81" xfId="0" applyFill="1" applyBorder="1" applyAlignment="1">
      <alignment horizontal="left" vertical="center"/>
    </xf>
    <xf numFmtId="0" fontId="0" fillId="11" borderId="82" xfId="0" applyFill="1" applyBorder="1" applyAlignment="1">
      <alignment horizontal="left" vertical="center"/>
    </xf>
    <xf numFmtId="0" fontId="0" fillId="11" borderId="83" xfId="0" applyFill="1" applyBorder="1" applyAlignment="1">
      <alignment horizontal="left" vertical="center"/>
    </xf>
    <xf numFmtId="0" fontId="0" fillId="11" borderId="84" xfId="0" applyFill="1" applyBorder="1" applyAlignment="1">
      <alignment horizontal="left" vertical="center"/>
    </xf>
    <xf numFmtId="0" fontId="0" fillId="11" borderId="85" xfId="0" applyFill="1" applyBorder="1" applyAlignment="1">
      <alignment horizontal="left" vertical="center"/>
    </xf>
    <xf numFmtId="166" fontId="0" fillId="11" borderId="80" xfId="0" applyNumberFormat="1" applyFill="1" applyBorder="1" applyAlignment="1">
      <alignment horizontal="center" vertical="center"/>
    </xf>
    <xf numFmtId="166" fontId="0" fillId="11" borderId="81" xfId="0" applyNumberFormat="1" applyFill="1" applyBorder="1" applyAlignment="1">
      <alignment horizontal="center" vertical="center"/>
    </xf>
    <xf numFmtId="166" fontId="0" fillId="11" borderId="102" xfId="0" applyNumberFormat="1" applyFill="1" applyBorder="1" applyAlignment="1">
      <alignment horizontal="center" vertical="center"/>
    </xf>
    <xf numFmtId="166" fontId="0" fillId="11" borderId="83" xfId="0" applyNumberFormat="1" applyFill="1" applyBorder="1" applyAlignment="1">
      <alignment horizontal="center" vertical="center"/>
    </xf>
    <xf numFmtId="166" fontId="0" fillId="11" borderId="84" xfId="0" applyNumberFormat="1" applyFill="1" applyBorder="1" applyAlignment="1">
      <alignment horizontal="center" vertical="center"/>
    </xf>
    <xf numFmtId="166" fontId="0" fillId="11" borderId="104" xfId="0" applyNumberFormat="1" applyFill="1" applyBorder="1" applyAlignment="1">
      <alignment horizontal="center" vertical="center"/>
    </xf>
    <xf numFmtId="0" fontId="0" fillId="5" borderId="26" xfId="0" applyFont="1" applyFill="1" applyBorder="1" applyAlignment="1">
      <alignment horizontal="center" vertical="center"/>
    </xf>
    <xf numFmtId="0" fontId="0" fillId="5" borderId="27" xfId="0" applyFont="1" applyFill="1" applyBorder="1" applyAlignment="1">
      <alignment horizontal="center" vertical="center"/>
    </xf>
    <xf numFmtId="0" fontId="0" fillId="5" borderId="28" xfId="0" applyFont="1" applyFill="1" applyBorder="1" applyAlignment="1">
      <alignment horizontal="center" vertical="center"/>
    </xf>
    <xf numFmtId="0" fontId="0" fillId="5" borderId="20" xfId="0" applyFont="1" applyFill="1" applyBorder="1" applyAlignment="1">
      <alignment horizontal="center" vertical="center"/>
    </xf>
    <xf numFmtId="0" fontId="0" fillId="5" borderId="22" xfId="0" applyFont="1" applyFill="1" applyBorder="1" applyAlignment="1">
      <alignment horizontal="center" vertical="center"/>
    </xf>
    <xf numFmtId="0" fontId="0" fillId="5" borderId="33" xfId="0" applyFont="1" applyFill="1" applyBorder="1" applyAlignment="1">
      <alignment horizontal="center" vertical="center"/>
    </xf>
    <xf numFmtId="0" fontId="0" fillId="11" borderId="106" xfId="0" applyFill="1" applyBorder="1" applyAlignment="1">
      <alignment vertical="center"/>
    </xf>
    <xf numFmtId="166" fontId="0" fillId="11" borderId="106" xfId="0" applyNumberFormat="1" applyFill="1" applyBorder="1" applyAlignment="1">
      <alignment horizontal="center" vertical="center"/>
    </xf>
    <xf numFmtId="166" fontId="0" fillId="11" borderId="107" xfId="0" applyNumberFormat="1" applyFill="1" applyBorder="1" applyAlignment="1">
      <alignment horizontal="center" vertical="center"/>
    </xf>
    <xf numFmtId="164" fontId="3" fillId="12" borderId="10" xfId="3" applyNumberFormat="1" applyFill="1" applyBorder="1" applyAlignment="1">
      <alignment horizontal="center" vertical="center"/>
    </xf>
    <xf numFmtId="164" fontId="3" fillId="12" borderId="93" xfId="3" applyNumberFormat="1" applyFill="1" applyBorder="1" applyAlignment="1">
      <alignment horizontal="center" vertical="center"/>
    </xf>
    <xf numFmtId="164" fontId="3" fillId="12" borderId="94" xfId="3" applyNumberFormat="1" applyFill="1" applyBorder="1" applyAlignment="1">
      <alignment horizontal="center" vertical="center"/>
    </xf>
    <xf numFmtId="0" fontId="0" fillId="5" borderId="64" xfId="0" applyFill="1" applyBorder="1" applyAlignment="1">
      <alignment horizontal="center" vertical="center" wrapText="1" shrinkToFit="1"/>
    </xf>
    <xf numFmtId="0" fontId="0" fillId="5" borderId="63" xfId="0" applyFill="1" applyBorder="1" applyAlignment="1">
      <alignment horizontal="center" vertical="center" wrapText="1" shrinkToFit="1"/>
    </xf>
    <xf numFmtId="0" fontId="0" fillId="5" borderId="91" xfId="0" applyFill="1" applyBorder="1" applyAlignment="1">
      <alignment horizontal="center" vertical="center" wrapText="1" shrinkToFit="1"/>
    </xf>
    <xf numFmtId="0" fontId="0" fillId="5" borderId="92" xfId="0" applyFill="1" applyBorder="1" applyAlignment="1">
      <alignment horizontal="center" vertical="center" wrapText="1" shrinkToFit="1"/>
    </xf>
    <xf numFmtId="0" fontId="0" fillId="5" borderId="0" xfId="0" applyFill="1" applyBorder="1" applyAlignment="1">
      <alignment horizontal="center" vertical="center" wrapText="1" shrinkToFit="1"/>
    </xf>
    <xf numFmtId="0" fontId="0" fillId="5" borderId="31" xfId="0" applyFill="1" applyBorder="1" applyAlignment="1">
      <alignment horizontal="center" vertical="center" wrapText="1" shrinkToFit="1"/>
    </xf>
    <xf numFmtId="0" fontId="0" fillId="5" borderId="23" xfId="0" applyFill="1" applyBorder="1" applyAlignment="1">
      <alignment horizontal="center" vertical="center" wrapText="1" shrinkToFit="1"/>
    </xf>
    <xf numFmtId="0" fontId="0" fillId="5" borderId="22" xfId="0" applyFill="1" applyBorder="1" applyAlignment="1">
      <alignment horizontal="center" vertical="center" wrapText="1" shrinkToFit="1"/>
    </xf>
    <xf numFmtId="0" fontId="0" fillId="5" borderId="33" xfId="0" applyFill="1" applyBorder="1" applyAlignment="1">
      <alignment horizontal="center" vertical="center" wrapText="1" shrinkToFit="1"/>
    </xf>
    <xf numFmtId="0" fontId="0" fillId="11" borderId="34" xfId="0" applyFill="1" applyBorder="1" applyAlignment="1">
      <alignment vertical="center"/>
    </xf>
    <xf numFmtId="166" fontId="6" fillId="11" borderId="34" xfId="2" applyNumberFormat="1" applyFont="1" applyFill="1" applyBorder="1" applyAlignment="1">
      <alignment horizontal="center" vertical="center"/>
    </xf>
    <xf numFmtId="166" fontId="6" fillId="11" borderId="100" xfId="2" applyNumberFormat="1" applyFont="1" applyFill="1" applyBorder="1" applyAlignment="1">
      <alignment horizontal="center" vertical="center"/>
    </xf>
    <xf numFmtId="166" fontId="0" fillId="11" borderId="34" xfId="0" applyNumberFormat="1" applyFill="1" applyBorder="1" applyAlignment="1">
      <alignment horizontal="center" vertical="center"/>
    </xf>
    <xf numFmtId="166" fontId="0" fillId="11" borderId="100" xfId="0" applyNumberFormat="1" applyFill="1" applyBorder="1" applyAlignment="1">
      <alignment horizontal="center" vertical="center"/>
    </xf>
    <xf numFmtId="0" fontId="0" fillId="12" borderId="30" xfId="0" applyFill="1" applyBorder="1" applyAlignment="1">
      <alignment horizontal="left" vertical="top" wrapText="1"/>
    </xf>
    <xf numFmtId="0" fontId="0" fillId="12" borderId="112" xfId="0" applyFill="1" applyBorder="1" applyAlignment="1">
      <alignment horizontal="left" vertical="top" wrapText="1"/>
    </xf>
    <xf numFmtId="0" fontId="0" fillId="12" borderId="20" xfId="0" applyFill="1" applyBorder="1" applyAlignment="1">
      <alignment horizontal="left" vertical="top" wrapText="1"/>
    </xf>
    <xf numFmtId="0" fontId="0" fillId="12" borderId="113" xfId="0" applyFill="1" applyBorder="1" applyAlignment="1">
      <alignment horizontal="left" vertical="top" wrapText="1"/>
    </xf>
    <xf numFmtId="0" fontId="0" fillId="12" borderId="92" xfId="0" applyFill="1" applyBorder="1" applyAlignment="1">
      <alignment horizontal="left" vertical="top" wrapText="1"/>
    </xf>
    <xf numFmtId="0" fontId="0" fillId="12" borderId="0" xfId="0" applyFill="1" applyBorder="1" applyAlignment="1">
      <alignment horizontal="left" vertical="top" wrapText="1"/>
    </xf>
    <xf numFmtId="0" fontId="0" fillId="12" borderId="23" xfId="0" applyFill="1" applyBorder="1" applyAlignment="1">
      <alignment horizontal="left" vertical="top" wrapText="1"/>
    </xf>
    <xf numFmtId="0" fontId="0" fillId="12" borderId="22" xfId="0" applyFill="1" applyBorder="1" applyAlignment="1">
      <alignment horizontal="left" vertical="top" wrapText="1"/>
    </xf>
    <xf numFmtId="0" fontId="0" fillId="5" borderId="0" xfId="0" applyFill="1" applyBorder="1" applyAlignment="1">
      <alignment horizontal="left" vertical="top" wrapText="1"/>
    </xf>
    <xf numFmtId="0" fontId="0" fillId="5" borderId="31" xfId="0" applyFill="1" applyBorder="1" applyAlignment="1">
      <alignment horizontal="left" vertical="top" wrapText="1"/>
    </xf>
    <xf numFmtId="0" fontId="0" fillId="5" borderId="22" xfId="0" applyFill="1" applyBorder="1" applyAlignment="1">
      <alignment horizontal="left" vertical="top" wrapText="1"/>
    </xf>
    <xf numFmtId="0" fontId="0" fillId="5" borderId="33" xfId="0" applyFill="1" applyBorder="1" applyAlignment="1">
      <alignment horizontal="left" vertical="top" wrapText="1"/>
    </xf>
    <xf numFmtId="0" fontId="6" fillId="7" borderId="17" xfId="2" applyFont="1" applyFill="1" applyBorder="1" applyAlignment="1">
      <alignment horizontal="center" vertical="center"/>
    </xf>
    <xf numFmtId="0" fontId="6" fillId="7" borderId="111" xfId="2" applyFont="1" applyFill="1" applyBorder="1" applyAlignment="1">
      <alignment horizontal="center" vertical="center"/>
    </xf>
    <xf numFmtId="0" fontId="6" fillId="7" borderId="109" xfId="2" applyFont="1" applyFill="1" applyBorder="1" applyAlignment="1">
      <alignment horizontal="center" vertical="center"/>
    </xf>
    <xf numFmtId="164" fontId="6" fillId="7" borderId="66" xfId="2" applyNumberFormat="1" applyFont="1" applyFill="1" applyBorder="1" applyAlignment="1">
      <alignment horizontal="center" vertical="center"/>
    </xf>
    <xf numFmtId="0" fontId="6" fillId="7" borderId="69" xfId="3" applyFont="1" applyFill="1" applyBorder="1" applyAlignment="1">
      <alignment horizontal="center" vertical="center"/>
    </xf>
    <xf numFmtId="0" fontId="6" fillId="7" borderId="65" xfId="3" applyFont="1" applyFill="1" applyBorder="1" applyAlignment="1">
      <alignment horizontal="center" vertical="center"/>
    </xf>
    <xf numFmtId="0" fontId="6" fillId="7" borderId="67" xfId="3" applyFont="1" applyFill="1" applyBorder="1" applyAlignment="1">
      <alignment horizontal="center" vertical="center"/>
    </xf>
    <xf numFmtId="0" fontId="6" fillId="7" borderId="69" xfId="2" applyFont="1" applyFill="1" applyBorder="1" applyAlignment="1">
      <alignment horizontal="center" vertical="center"/>
    </xf>
    <xf numFmtId="0" fontId="6" fillId="7" borderId="65" xfId="2" applyFont="1" applyFill="1" applyBorder="1" applyAlignment="1">
      <alignment horizontal="center" vertical="center"/>
    </xf>
    <xf numFmtId="164" fontId="6" fillId="7" borderId="63" xfId="2" applyNumberFormat="1" applyFont="1" applyFill="1" applyBorder="1" applyAlignment="1">
      <alignment horizontal="center" vertical="center"/>
    </xf>
    <xf numFmtId="0" fontId="6" fillId="7" borderId="10" xfId="2" applyFont="1" applyFill="1" applyBorder="1" applyAlignment="1">
      <alignment horizontal="center" vertical="center"/>
    </xf>
    <xf numFmtId="0" fontId="6" fillId="7" borderId="10" xfId="3" applyFont="1" applyFill="1" applyBorder="1" applyAlignment="1">
      <alignment horizontal="center" vertical="center"/>
    </xf>
    <xf numFmtId="0" fontId="6" fillId="7" borderId="62" xfId="3" applyFont="1" applyFill="1" applyBorder="1" applyAlignment="1">
      <alignment horizontal="center" vertical="center"/>
    </xf>
    <xf numFmtId="0" fontId="6" fillId="7" borderId="62" xfId="2" applyFont="1" applyFill="1" applyBorder="1" applyAlignment="1">
      <alignment horizontal="center" vertical="center"/>
    </xf>
    <xf numFmtId="0" fontId="0" fillId="7" borderId="26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65" xfId="0" applyFill="1" applyBorder="1" applyAlignment="1">
      <alignment horizontal="center" vertical="center"/>
    </xf>
    <xf numFmtId="0" fontId="0" fillId="7" borderId="71" xfId="0" applyFill="1" applyBorder="1" applyAlignment="1">
      <alignment horizontal="center" vertical="center"/>
    </xf>
    <xf numFmtId="164" fontId="6" fillId="6" borderId="14" xfId="0" applyNumberFormat="1" applyFont="1" applyFill="1" applyBorder="1" applyAlignment="1">
      <alignment horizontal="center" vertical="center"/>
    </xf>
    <xf numFmtId="0" fontId="6" fillId="6" borderId="5" xfId="0" applyFont="1" applyFill="1" applyBorder="1" applyAlignment="1">
      <alignment horizontal="center" vertical="center"/>
    </xf>
    <xf numFmtId="0" fontId="6" fillId="6" borderId="13" xfId="0" applyFont="1" applyFill="1" applyBorder="1" applyAlignment="1">
      <alignment horizontal="center" vertical="center"/>
    </xf>
    <xf numFmtId="0" fontId="6" fillId="6" borderId="108" xfId="0" applyFont="1" applyFill="1" applyBorder="1" applyAlignment="1">
      <alignment horizontal="center" vertical="center"/>
    </xf>
    <xf numFmtId="0" fontId="6" fillId="6" borderId="110" xfId="0" applyFont="1" applyFill="1" applyBorder="1" applyAlignment="1">
      <alignment horizontal="center" vertical="center"/>
    </xf>
    <xf numFmtId="164" fontId="6" fillId="11" borderId="14" xfId="2" applyNumberFormat="1" applyFont="1" applyFill="1" applyBorder="1" applyAlignment="1">
      <alignment horizontal="center" vertical="center"/>
    </xf>
    <xf numFmtId="0" fontId="6" fillId="7" borderId="5" xfId="3" applyFont="1" applyFill="1" applyBorder="1" applyAlignment="1">
      <alignment horizontal="center" vertical="center"/>
    </xf>
    <xf numFmtId="0" fontId="6" fillId="7" borderId="5" xfId="2" applyFont="1" applyFill="1" applyBorder="1" applyAlignment="1">
      <alignment horizontal="center" vertical="center"/>
    </xf>
    <xf numFmtId="0" fontId="6" fillId="7" borderId="13" xfId="2" applyFont="1" applyFill="1" applyBorder="1" applyAlignment="1">
      <alignment horizontal="center" vertical="center"/>
    </xf>
    <xf numFmtId="0" fontId="6" fillId="7" borderId="108" xfId="2" applyFont="1" applyFill="1" applyBorder="1" applyAlignment="1">
      <alignment horizontal="center" vertical="center"/>
    </xf>
    <xf numFmtId="0" fontId="6" fillId="7" borderId="13" xfId="3" applyFont="1" applyFill="1" applyBorder="1" applyAlignment="1">
      <alignment horizontal="center" vertical="center"/>
    </xf>
    <xf numFmtId="0" fontId="6" fillId="7" borderId="108" xfId="3" applyFont="1" applyFill="1" applyBorder="1" applyAlignment="1">
      <alignment horizontal="center" vertical="center"/>
    </xf>
    <xf numFmtId="0" fontId="6" fillId="7" borderId="110" xfId="3" applyFont="1" applyFill="1" applyBorder="1" applyAlignment="1">
      <alignment horizontal="center" vertical="center"/>
    </xf>
    <xf numFmtId="0" fontId="11" fillId="7" borderId="12" xfId="4" applyFont="1" applyFill="1" applyBorder="1" applyAlignment="1">
      <alignment horizontal="center" vertical="center" wrapText="1"/>
    </xf>
    <xf numFmtId="0" fontId="11" fillId="7" borderId="19" xfId="4" applyFont="1" applyFill="1" applyBorder="1" applyAlignment="1">
      <alignment horizontal="center" vertical="center" wrapText="1"/>
    </xf>
  </cellXfs>
  <cellStyles count="5">
    <cellStyle name="Bad" xfId="3" builtinId="27"/>
    <cellStyle name="Good" xfId="2" builtinId="26"/>
    <cellStyle name="Neutral" xfId="4" builtinId="28"/>
    <cellStyle name="Normal" xfId="0" builtinId="0"/>
    <cellStyle name="Percent" xfId="1" builtinId="5"/>
  </cellStyles>
  <dxfs count="93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FFFF"/>
      <color rgb="FF9C0006"/>
      <color rgb="FFFFC7CE"/>
      <color rgb="FF006100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Margin</a:t>
            </a:r>
          </a:p>
        </c:rich>
      </c:tx>
      <c:layout>
        <c:manualLayout>
          <c:xMode val="edge"/>
          <c:yMode val="edge"/>
          <c:x val="0.4512778295004923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640027867613803E-2"/>
          <c:y val="0.20158305761589551"/>
          <c:w val="0.89814182493608452"/>
          <c:h val="0.6177149100160223"/>
        </c:manualLayout>
      </c:layout>
      <c:lineChart>
        <c:grouping val="standard"/>
        <c:varyColors val="0"/>
        <c:ser>
          <c:idx val="0"/>
          <c:order val="0"/>
          <c:tx>
            <c:strRef>
              <c:f>'#BLANK'!$AJ$1</c:f>
              <c:strCache>
                <c:ptCount val="1"/>
                <c:pt idx="0">
                  <c:v>Actual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'#BLANK'!$AI$2:$AI$50</c:f>
              <c:numCache>
                <c:formatCode>m/d/yy;@</c:formatCode>
                <c:ptCount val="49"/>
              </c:numCache>
            </c:numRef>
          </c:cat>
          <c:val>
            <c:numRef>
              <c:f>'#BLANK'!$AJ$2:$AJ$50</c:f>
              <c:numCache>
                <c:formatCode>0%</c:formatCode>
                <c:ptCount val="4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56-4719-B171-945E313B5CDA}"/>
            </c:ext>
          </c:extLst>
        </c:ser>
        <c:ser>
          <c:idx val="1"/>
          <c:order val="1"/>
          <c:tx>
            <c:strRef>
              <c:f>'#BLANK'!$AK$1</c:f>
              <c:strCache>
                <c:ptCount val="1"/>
                <c:pt idx="0">
                  <c:v>Sold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'#BLANK'!$AI$2:$AI$50</c:f>
              <c:numCache>
                <c:formatCode>m/d/yy;@</c:formatCode>
                <c:ptCount val="49"/>
              </c:numCache>
            </c:numRef>
          </c:cat>
          <c:val>
            <c:numRef>
              <c:f>'#BLANK'!$AK$2:$AK$50</c:f>
              <c:numCache>
                <c:formatCode>0%</c:formatCode>
                <c:ptCount val="4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56-4719-B171-945E313B5C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5131167"/>
        <c:axId val="11018960"/>
      </c:lineChart>
      <c:catAx>
        <c:axId val="2095131167"/>
        <c:scaling>
          <c:orientation val="minMax"/>
        </c:scaling>
        <c:delete val="0"/>
        <c:axPos val="b"/>
        <c:numFmt formatCode="m/d/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18960"/>
        <c:crosses val="autoZero"/>
        <c:auto val="1"/>
        <c:lblAlgn val="ctr"/>
        <c:lblOffset val="100"/>
        <c:noMultiLvlLbl val="1"/>
      </c:catAx>
      <c:valAx>
        <c:axId val="11018960"/>
        <c:scaling>
          <c:orientation val="minMax"/>
          <c:max val="0.30000001192092896"/>
          <c:min val="5.000000074505806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5131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286255360401509"/>
          <c:y val="5.3825842609479958E-2"/>
          <c:w val="0.24919576288023759"/>
          <c:h val="0.102277239909705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Margin</a:t>
            </a:r>
          </a:p>
        </c:rich>
      </c:tx>
      <c:layout>
        <c:manualLayout>
          <c:xMode val="edge"/>
          <c:yMode val="edge"/>
          <c:x val="0.4512778295004923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640027867613803E-2"/>
          <c:y val="0.20158305761589551"/>
          <c:w val="0.89814182493608452"/>
          <c:h val="0.6177149100160223"/>
        </c:manualLayout>
      </c:layout>
      <c:lineChart>
        <c:grouping val="standard"/>
        <c:varyColors val="0"/>
        <c:ser>
          <c:idx val="0"/>
          <c:order val="0"/>
          <c:tx>
            <c:strRef>
              <c:f>'C-GSKITA-834'!$AJ$1</c:f>
              <c:strCache>
                <c:ptCount val="1"/>
                <c:pt idx="0">
                  <c:v>Actual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'C-GSKITA-834'!$AI$2:$AI$50</c:f>
              <c:numCache>
                <c:formatCode>m/d/yy;@</c:formatCode>
                <c:ptCount val="49"/>
                <c:pt idx="0">
                  <c:v>44313</c:v>
                </c:pt>
                <c:pt idx="1">
                  <c:v>44349</c:v>
                </c:pt>
              </c:numCache>
            </c:numRef>
          </c:cat>
          <c:val>
            <c:numRef>
              <c:f>'C-GSKITA-834'!$AJ$2:$AJ$50</c:f>
              <c:numCache>
                <c:formatCode>0%</c:formatCode>
                <c:ptCount val="49"/>
                <c:pt idx="0">
                  <c:v>0.33</c:v>
                </c:pt>
                <c:pt idx="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13-45C4-A8ED-C17518D35C81}"/>
            </c:ext>
          </c:extLst>
        </c:ser>
        <c:ser>
          <c:idx val="1"/>
          <c:order val="1"/>
          <c:tx>
            <c:strRef>
              <c:f>'C-GSKITA-834'!$AK$1</c:f>
              <c:strCache>
                <c:ptCount val="1"/>
                <c:pt idx="0">
                  <c:v>Sold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'C-GSKITA-834'!$AI$2:$AI$50</c:f>
              <c:numCache>
                <c:formatCode>m/d/yy;@</c:formatCode>
                <c:ptCount val="49"/>
                <c:pt idx="0">
                  <c:v>44313</c:v>
                </c:pt>
                <c:pt idx="1">
                  <c:v>44349</c:v>
                </c:pt>
              </c:numCache>
            </c:numRef>
          </c:cat>
          <c:val>
            <c:numRef>
              <c:f>'C-GSKITA-834'!$AK$2:$AK$50</c:f>
              <c:numCache>
                <c:formatCode>0%</c:formatCode>
                <c:ptCount val="4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13-45C4-A8ED-C17518D35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5131167"/>
        <c:axId val="11018960"/>
      </c:lineChart>
      <c:dateAx>
        <c:axId val="2095131167"/>
        <c:scaling>
          <c:orientation val="minMax"/>
        </c:scaling>
        <c:delete val="0"/>
        <c:axPos val="b"/>
        <c:numFmt formatCode="m/d/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18960"/>
        <c:crosses val="autoZero"/>
        <c:auto val="1"/>
        <c:lblOffset val="100"/>
        <c:baseTimeUnit val="days"/>
      </c:dateAx>
      <c:valAx>
        <c:axId val="11018960"/>
        <c:scaling>
          <c:orientation val="minMax"/>
          <c:max val="1.0499999523162842"/>
          <c:min val="0.300000011920928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5131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286255360401509"/>
          <c:y val="5.3825842609479958E-2"/>
          <c:w val="0.24919576288023759"/>
          <c:h val="0.102277239909705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Margin</a:t>
            </a:r>
          </a:p>
        </c:rich>
      </c:tx>
      <c:layout>
        <c:manualLayout>
          <c:xMode val="edge"/>
          <c:yMode val="edge"/>
          <c:x val="0.4512778295004923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640027867613803E-2"/>
          <c:y val="0.20158305761589551"/>
          <c:w val="0.89814182493608452"/>
          <c:h val="0.6177149100160223"/>
        </c:manualLayout>
      </c:layout>
      <c:lineChart>
        <c:grouping val="standard"/>
        <c:varyColors val="0"/>
        <c:ser>
          <c:idx val="0"/>
          <c:order val="0"/>
          <c:tx>
            <c:strRef>
              <c:f>'C-INNOVA-788'!$AJ$1</c:f>
              <c:strCache>
                <c:ptCount val="1"/>
                <c:pt idx="0">
                  <c:v>Actual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'C-INNOVA-788'!$AI$2:$AI$50</c:f>
              <c:numCache>
                <c:formatCode>m/d/yy;@</c:formatCode>
                <c:ptCount val="49"/>
                <c:pt idx="0">
                  <c:v>44313</c:v>
                </c:pt>
                <c:pt idx="1">
                  <c:v>44349</c:v>
                </c:pt>
              </c:numCache>
            </c:numRef>
          </c:cat>
          <c:val>
            <c:numRef>
              <c:f>'C-INNOVA-788'!$AJ$2:$AJ$50</c:f>
              <c:numCache>
                <c:formatCode>0%</c:formatCode>
                <c:ptCount val="49"/>
                <c:pt idx="0">
                  <c:v>0.33</c:v>
                </c:pt>
                <c:pt idx="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B9-4E20-B4D3-212CF81C0822}"/>
            </c:ext>
          </c:extLst>
        </c:ser>
        <c:ser>
          <c:idx val="1"/>
          <c:order val="1"/>
          <c:tx>
            <c:strRef>
              <c:f>'C-INNOVA-788'!$AK$1</c:f>
              <c:strCache>
                <c:ptCount val="1"/>
                <c:pt idx="0">
                  <c:v>Sold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'C-INNOVA-788'!$AI$2:$AI$50</c:f>
              <c:numCache>
                <c:formatCode>m/d/yy;@</c:formatCode>
                <c:ptCount val="49"/>
                <c:pt idx="0">
                  <c:v>44313</c:v>
                </c:pt>
                <c:pt idx="1">
                  <c:v>44349</c:v>
                </c:pt>
              </c:numCache>
            </c:numRef>
          </c:cat>
          <c:val>
            <c:numRef>
              <c:f>'C-INNOVA-788'!$AK$2:$AK$50</c:f>
              <c:numCache>
                <c:formatCode>0%</c:formatCode>
                <c:ptCount val="4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B9-4E20-B4D3-212CF81C0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5131167"/>
        <c:axId val="11018960"/>
      </c:lineChart>
      <c:dateAx>
        <c:axId val="2095131167"/>
        <c:scaling>
          <c:orientation val="minMax"/>
        </c:scaling>
        <c:delete val="0"/>
        <c:axPos val="b"/>
        <c:numFmt formatCode="m/d/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18960"/>
        <c:crosses val="autoZero"/>
        <c:auto val="1"/>
        <c:lblOffset val="100"/>
        <c:baseTimeUnit val="days"/>
      </c:dateAx>
      <c:valAx>
        <c:axId val="11018960"/>
        <c:scaling>
          <c:orientation val="minMax"/>
          <c:max val="1.0499999523162842"/>
          <c:min val="0.300000011920928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5131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286255360401509"/>
          <c:y val="5.3825842609479958E-2"/>
          <c:w val="0.24919576288023759"/>
          <c:h val="0.102277239909705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Margin</a:t>
            </a:r>
          </a:p>
        </c:rich>
      </c:tx>
      <c:layout>
        <c:manualLayout>
          <c:xMode val="edge"/>
          <c:yMode val="edge"/>
          <c:x val="0.4512778295004923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640027867613803E-2"/>
          <c:y val="0.20158305761589551"/>
          <c:w val="0.89814182493608452"/>
          <c:h val="0.6177149100160223"/>
        </c:manualLayout>
      </c:layout>
      <c:lineChart>
        <c:grouping val="standard"/>
        <c:varyColors val="0"/>
        <c:ser>
          <c:idx val="0"/>
          <c:order val="0"/>
          <c:tx>
            <c:strRef>
              <c:f>'C-INNOVA-789'!$AJ$1</c:f>
              <c:strCache>
                <c:ptCount val="1"/>
                <c:pt idx="0">
                  <c:v>Actual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'C-INNOVA-789'!$AI$2:$AI$50</c:f>
              <c:numCache>
                <c:formatCode>m/d/yy;@</c:formatCode>
                <c:ptCount val="49"/>
                <c:pt idx="0">
                  <c:v>44313</c:v>
                </c:pt>
                <c:pt idx="1">
                  <c:v>44349</c:v>
                </c:pt>
              </c:numCache>
            </c:numRef>
          </c:cat>
          <c:val>
            <c:numRef>
              <c:f>'C-INNOVA-789'!$AJ$2:$AJ$50</c:f>
              <c:numCache>
                <c:formatCode>0%</c:formatCode>
                <c:ptCount val="49"/>
                <c:pt idx="0">
                  <c:v>0.33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13-4C50-B169-B2920D5FD375}"/>
            </c:ext>
          </c:extLst>
        </c:ser>
        <c:ser>
          <c:idx val="1"/>
          <c:order val="1"/>
          <c:tx>
            <c:strRef>
              <c:f>'C-INNOVA-789'!$AK$1</c:f>
              <c:strCache>
                <c:ptCount val="1"/>
                <c:pt idx="0">
                  <c:v>Sold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'C-INNOVA-789'!$AI$2:$AI$50</c:f>
              <c:numCache>
                <c:formatCode>m/d/yy;@</c:formatCode>
                <c:ptCount val="49"/>
                <c:pt idx="0">
                  <c:v>44313</c:v>
                </c:pt>
                <c:pt idx="1">
                  <c:v>44349</c:v>
                </c:pt>
              </c:numCache>
            </c:numRef>
          </c:cat>
          <c:val>
            <c:numRef>
              <c:f>'C-INNOVA-789'!$AK$2:$AK$50</c:f>
              <c:numCache>
                <c:formatCode>0%</c:formatCode>
                <c:ptCount val="4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13-4C50-B169-B2920D5FD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5131167"/>
        <c:axId val="11018960"/>
      </c:lineChart>
      <c:dateAx>
        <c:axId val="2095131167"/>
        <c:scaling>
          <c:orientation val="minMax"/>
        </c:scaling>
        <c:delete val="0"/>
        <c:axPos val="b"/>
        <c:numFmt formatCode="m/d/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18960"/>
        <c:crosses val="autoZero"/>
        <c:auto val="1"/>
        <c:lblOffset val="100"/>
        <c:baseTimeUnit val="days"/>
      </c:dateAx>
      <c:valAx>
        <c:axId val="11018960"/>
        <c:scaling>
          <c:orientation val="minMax"/>
          <c:max val="0.30000001192092896"/>
          <c:min val="5.000000074505806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5131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286255360401509"/>
          <c:y val="5.3825842609479958E-2"/>
          <c:w val="0.24919576288023759"/>
          <c:h val="0.102277239909705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Margin</a:t>
            </a:r>
          </a:p>
        </c:rich>
      </c:tx>
      <c:layout>
        <c:manualLayout>
          <c:xMode val="edge"/>
          <c:yMode val="edge"/>
          <c:x val="0.4512778295004923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640027867613803E-2"/>
          <c:y val="0.20158305761589551"/>
          <c:w val="0.89814182493608452"/>
          <c:h val="0.6177149100160223"/>
        </c:manualLayout>
      </c:layout>
      <c:lineChart>
        <c:grouping val="standard"/>
        <c:varyColors val="0"/>
        <c:ser>
          <c:idx val="0"/>
          <c:order val="0"/>
          <c:tx>
            <c:strRef>
              <c:f>'C-INNOVA-793'!$AJ$1</c:f>
              <c:strCache>
                <c:ptCount val="1"/>
                <c:pt idx="0">
                  <c:v>Actual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'C-INNOVA-793'!$AI$2:$AI$50</c:f>
              <c:numCache>
                <c:formatCode>m/d/yy;@</c:formatCode>
                <c:ptCount val="49"/>
                <c:pt idx="0">
                  <c:v>44313</c:v>
                </c:pt>
              </c:numCache>
            </c:numRef>
          </c:cat>
          <c:val>
            <c:numRef>
              <c:f>'C-INNOVA-793'!$AJ$2:$AJ$50</c:f>
              <c:numCache>
                <c:formatCode>0%</c:formatCode>
                <c:ptCount val="49"/>
                <c:pt idx="0">
                  <c:v>0.33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38-4B79-9D48-E8F1DF11443E}"/>
            </c:ext>
          </c:extLst>
        </c:ser>
        <c:ser>
          <c:idx val="1"/>
          <c:order val="1"/>
          <c:tx>
            <c:strRef>
              <c:f>'C-INNOVA-793'!$AK$1</c:f>
              <c:strCache>
                <c:ptCount val="1"/>
                <c:pt idx="0">
                  <c:v>Sold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'C-INNOVA-793'!$AI$2:$AI$50</c:f>
              <c:numCache>
                <c:formatCode>m/d/yy;@</c:formatCode>
                <c:ptCount val="49"/>
                <c:pt idx="0">
                  <c:v>44313</c:v>
                </c:pt>
              </c:numCache>
            </c:numRef>
          </c:cat>
          <c:val>
            <c:numRef>
              <c:f>'C-INNOVA-793'!$AK$2:$AK$50</c:f>
              <c:numCache>
                <c:formatCode>0%</c:formatCode>
                <c:ptCount val="4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38-4B79-9D48-E8F1DF1144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5131167"/>
        <c:axId val="11018960"/>
      </c:lineChart>
      <c:dateAx>
        <c:axId val="2095131167"/>
        <c:scaling>
          <c:orientation val="minMax"/>
        </c:scaling>
        <c:delete val="0"/>
        <c:axPos val="b"/>
        <c:numFmt formatCode="m/d/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18960"/>
        <c:crosses val="autoZero"/>
        <c:auto val="1"/>
        <c:lblOffset val="100"/>
        <c:baseTimeUnit val="days"/>
      </c:dateAx>
      <c:valAx>
        <c:axId val="11018960"/>
        <c:scaling>
          <c:orientation val="minMax"/>
          <c:max val="0.30000001192092896"/>
          <c:min val="5.000000074505806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5131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286255360401509"/>
          <c:y val="5.3825842609479958E-2"/>
          <c:w val="0.24919576288023759"/>
          <c:h val="0.102277239909705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Margin</a:t>
            </a:r>
          </a:p>
        </c:rich>
      </c:tx>
      <c:layout>
        <c:manualLayout>
          <c:xMode val="edge"/>
          <c:yMode val="edge"/>
          <c:x val="0.4512778295004923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640027867613803E-2"/>
          <c:y val="0.20158305761589551"/>
          <c:w val="0.89814182493608452"/>
          <c:h val="0.6177149100160223"/>
        </c:manualLayout>
      </c:layout>
      <c:lineChart>
        <c:grouping val="standard"/>
        <c:varyColors val="0"/>
        <c:ser>
          <c:idx val="0"/>
          <c:order val="0"/>
          <c:tx>
            <c:strRef>
              <c:f>'C-KEYGEN-828'!$AJ$1</c:f>
              <c:strCache>
                <c:ptCount val="1"/>
                <c:pt idx="0">
                  <c:v>Actual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'C-KEYGEN-828'!$AI$2:$AI$50</c:f>
              <c:numCache>
                <c:formatCode>m/d/yy;@</c:formatCode>
                <c:ptCount val="49"/>
                <c:pt idx="0">
                  <c:v>44313</c:v>
                </c:pt>
              </c:numCache>
            </c:numRef>
          </c:cat>
          <c:val>
            <c:numRef>
              <c:f>'C-KEYGEN-828'!$AJ$2:$AJ$50</c:f>
              <c:numCache>
                <c:formatCode>0%</c:formatCode>
                <c:ptCount val="49"/>
                <c:pt idx="0">
                  <c:v>0.33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66-41E4-AD09-BD55EA1F2546}"/>
            </c:ext>
          </c:extLst>
        </c:ser>
        <c:ser>
          <c:idx val="1"/>
          <c:order val="1"/>
          <c:tx>
            <c:strRef>
              <c:f>'C-KEYGEN-828'!$AK$1</c:f>
              <c:strCache>
                <c:ptCount val="1"/>
                <c:pt idx="0">
                  <c:v>Sold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'C-KEYGEN-828'!$AI$2:$AI$50</c:f>
              <c:numCache>
                <c:formatCode>m/d/yy;@</c:formatCode>
                <c:ptCount val="49"/>
                <c:pt idx="0">
                  <c:v>44313</c:v>
                </c:pt>
              </c:numCache>
            </c:numRef>
          </c:cat>
          <c:val>
            <c:numRef>
              <c:f>'C-KEYGEN-828'!$AK$2:$AK$50</c:f>
              <c:numCache>
                <c:formatCode>0%</c:formatCode>
                <c:ptCount val="4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F66-41E4-AD09-BD55EA1F2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5131167"/>
        <c:axId val="11018960"/>
      </c:lineChart>
      <c:dateAx>
        <c:axId val="2095131167"/>
        <c:scaling>
          <c:orientation val="minMax"/>
        </c:scaling>
        <c:delete val="0"/>
        <c:axPos val="b"/>
        <c:numFmt formatCode="m/d/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18960"/>
        <c:crosses val="autoZero"/>
        <c:auto val="1"/>
        <c:lblOffset val="100"/>
        <c:baseTimeUnit val="days"/>
      </c:dateAx>
      <c:valAx>
        <c:axId val="11018960"/>
        <c:scaling>
          <c:orientation val="minMax"/>
          <c:max val="0.30000001192092896"/>
          <c:min val="5.000000074505806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5131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286255360401509"/>
          <c:y val="5.3825842609479958E-2"/>
          <c:w val="0.24919576288023759"/>
          <c:h val="0.102277239909705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Margin</a:t>
            </a:r>
          </a:p>
        </c:rich>
      </c:tx>
      <c:layout>
        <c:manualLayout>
          <c:xMode val="edge"/>
          <c:yMode val="edge"/>
          <c:x val="0.4512778295004923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640027867613803E-2"/>
          <c:y val="0.20158305761589551"/>
          <c:w val="0.89814182493608452"/>
          <c:h val="0.6177149100160223"/>
        </c:manualLayout>
      </c:layout>
      <c:lineChart>
        <c:grouping val="standard"/>
        <c:varyColors val="0"/>
        <c:ser>
          <c:idx val="0"/>
          <c:order val="0"/>
          <c:tx>
            <c:strRef>
              <c:f>'C-NORTHE-841'!$AJ$1</c:f>
              <c:strCache>
                <c:ptCount val="1"/>
                <c:pt idx="0">
                  <c:v>Actual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'C-NORTHE-841'!$AI$2:$AI$50</c:f>
              <c:numCache>
                <c:formatCode>m/d/yy;@</c:formatCode>
                <c:ptCount val="49"/>
                <c:pt idx="0">
                  <c:v>44313</c:v>
                </c:pt>
              </c:numCache>
            </c:numRef>
          </c:cat>
          <c:val>
            <c:numRef>
              <c:f>'C-NORTHE-841'!$AJ$2:$AJ$50</c:f>
              <c:numCache>
                <c:formatCode>0%</c:formatCode>
                <c:ptCount val="49"/>
                <c:pt idx="0">
                  <c:v>0.33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9-433F-A724-31D227B73DE7}"/>
            </c:ext>
          </c:extLst>
        </c:ser>
        <c:ser>
          <c:idx val="1"/>
          <c:order val="1"/>
          <c:tx>
            <c:strRef>
              <c:f>'C-NORTHE-841'!$AK$1</c:f>
              <c:strCache>
                <c:ptCount val="1"/>
                <c:pt idx="0">
                  <c:v>Sold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'C-NORTHE-841'!$AI$2:$AI$50</c:f>
              <c:numCache>
                <c:formatCode>m/d/yy;@</c:formatCode>
                <c:ptCount val="49"/>
                <c:pt idx="0">
                  <c:v>44313</c:v>
                </c:pt>
              </c:numCache>
            </c:numRef>
          </c:cat>
          <c:val>
            <c:numRef>
              <c:f>'C-NORTHE-841'!$AK$2:$AK$50</c:f>
              <c:numCache>
                <c:formatCode>0%</c:formatCode>
                <c:ptCount val="4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59-433F-A724-31D227B73D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5131167"/>
        <c:axId val="11018960"/>
      </c:lineChart>
      <c:dateAx>
        <c:axId val="2095131167"/>
        <c:scaling>
          <c:orientation val="minMax"/>
        </c:scaling>
        <c:delete val="0"/>
        <c:axPos val="b"/>
        <c:numFmt formatCode="m/d/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18960"/>
        <c:crosses val="autoZero"/>
        <c:auto val="1"/>
        <c:lblOffset val="100"/>
        <c:baseTimeUnit val="days"/>
      </c:dateAx>
      <c:valAx>
        <c:axId val="11018960"/>
        <c:scaling>
          <c:orientation val="minMax"/>
          <c:max val="0.30000001192092896"/>
          <c:min val="5.000000074505806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5131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286255360401509"/>
          <c:y val="5.3825842609479958E-2"/>
          <c:w val="0.24919576288023759"/>
          <c:h val="0.102277239909705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601980</xdr:colOff>
          <xdr:row>0</xdr:row>
          <xdr:rowOff>22860</xdr:rowOff>
        </xdr:from>
        <xdr:to>
          <xdr:col>7</xdr:col>
          <xdr:colOff>601980</xdr:colOff>
          <xdr:row>1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ALL SCORECARDS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9525</xdr:colOff>
      <xdr:row>1</xdr:row>
      <xdr:rowOff>14287</xdr:rowOff>
    </xdr:from>
    <xdr:to>
      <xdr:col>31</xdr:col>
      <xdr:colOff>819150</xdr:colOff>
      <xdr:row>10</xdr:row>
      <xdr:rowOff>180975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297180</xdr:colOff>
          <xdr:row>0</xdr:row>
          <xdr:rowOff>0</xdr:rowOff>
        </xdr:from>
        <xdr:to>
          <xdr:col>38</xdr:col>
          <xdr:colOff>601980</xdr:colOff>
          <xdr:row>4</xdr:row>
          <xdr:rowOff>30480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THIS CARD ONLY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9525</xdr:colOff>
      <xdr:row>1</xdr:row>
      <xdr:rowOff>14287</xdr:rowOff>
    </xdr:from>
    <xdr:to>
      <xdr:col>31</xdr:col>
      <xdr:colOff>819150</xdr:colOff>
      <xdr:row>10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297180</xdr:colOff>
          <xdr:row>0</xdr:row>
          <xdr:rowOff>0</xdr:rowOff>
        </xdr:from>
        <xdr:to>
          <xdr:col>38</xdr:col>
          <xdr:colOff>601980</xdr:colOff>
          <xdr:row>4</xdr:row>
          <xdr:rowOff>30480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THIS CARD ONLY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9525</xdr:colOff>
      <xdr:row>1</xdr:row>
      <xdr:rowOff>14287</xdr:rowOff>
    </xdr:from>
    <xdr:to>
      <xdr:col>31</xdr:col>
      <xdr:colOff>819150</xdr:colOff>
      <xdr:row>10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297180</xdr:colOff>
          <xdr:row>0</xdr:row>
          <xdr:rowOff>0</xdr:rowOff>
        </xdr:from>
        <xdr:to>
          <xdr:col>38</xdr:col>
          <xdr:colOff>601980</xdr:colOff>
          <xdr:row>4</xdr:row>
          <xdr:rowOff>30480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4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THIS CARD ONLY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9525</xdr:colOff>
      <xdr:row>1</xdr:row>
      <xdr:rowOff>14287</xdr:rowOff>
    </xdr:from>
    <xdr:to>
      <xdr:col>31</xdr:col>
      <xdr:colOff>819150</xdr:colOff>
      <xdr:row>10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297180</xdr:colOff>
          <xdr:row>0</xdr:row>
          <xdr:rowOff>0</xdr:rowOff>
        </xdr:from>
        <xdr:to>
          <xdr:col>38</xdr:col>
          <xdr:colOff>601980</xdr:colOff>
          <xdr:row>4</xdr:row>
          <xdr:rowOff>30480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5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THIS CARD ONLY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9525</xdr:colOff>
      <xdr:row>1</xdr:row>
      <xdr:rowOff>14287</xdr:rowOff>
    </xdr:from>
    <xdr:to>
      <xdr:col>31</xdr:col>
      <xdr:colOff>819150</xdr:colOff>
      <xdr:row>10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297180</xdr:colOff>
          <xdr:row>0</xdr:row>
          <xdr:rowOff>0</xdr:rowOff>
        </xdr:from>
        <xdr:to>
          <xdr:col>38</xdr:col>
          <xdr:colOff>601980</xdr:colOff>
          <xdr:row>4</xdr:row>
          <xdr:rowOff>30480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6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THIS CARD ONLY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9525</xdr:colOff>
      <xdr:row>1</xdr:row>
      <xdr:rowOff>14287</xdr:rowOff>
    </xdr:from>
    <xdr:to>
      <xdr:col>31</xdr:col>
      <xdr:colOff>819150</xdr:colOff>
      <xdr:row>10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297180</xdr:colOff>
          <xdr:row>0</xdr:row>
          <xdr:rowOff>0</xdr:rowOff>
        </xdr:from>
        <xdr:to>
          <xdr:col>38</xdr:col>
          <xdr:colOff>601980</xdr:colOff>
          <xdr:row>4</xdr:row>
          <xdr:rowOff>30480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7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THIS CARD ONLY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9525</xdr:colOff>
      <xdr:row>1</xdr:row>
      <xdr:rowOff>14287</xdr:rowOff>
    </xdr:from>
    <xdr:to>
      <xdr:col>31</xdr:col>
      <xdr:colOff>819150</xdr:colOff>
      <xdr:row>10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297180</xdr:colOff>
          <xdr:row>0</xdr:row>
          <xdr:rowOff>0</xdr:rowOff>
        </xdr:from>
        <xdr:to>
          <xdr:col>38</xdr:col>
          <xdr:colOff>601980</xdr:colOff>
          <xdr:row>4</xdr:row>
          <xdr:rowOff>30480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8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THIS CARD ONLY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6CF1-1B77-4C39-B9F4-9F30732D73D7}">
  <sheetPr codeName="Sheet1"/>
  <dimension ref="A1:D8"/>
  <sheetViews>
    <sheetView workbookViewId="0">
      <pane ySplit="1" topLeftCell="A2" activePane="bottomLeft" state="frozen"/>
      <selection pane="bottomLeft" activeCell="I2" sqref="I2"/>
    </sheetView>
  </sheetViews>
  <sheetFormatPr defaultColWidth="9.109375" defaultRowHeight="21" x14ac:dyDescent="0.3"/>
  <cols>
    <col min="1" max="1" width="10.88671875" style="95" bestFit="1" customWidth="1"/>
    <col min="2" max="2" width="31.33203125" style="96" customWidth="1"/>
    <col min="3" max="3" width="14.5546875" style="95" bestFit="1" customWidth="1"/>
    <col min="4" max="4" width="13.5546875" style="95" bestFit="1" customWidth="1"/>
    <col min="5" max="16384" width="9.109375" style="98"/>
  </cols>
  <sheetData>
    <row r="1" spans="1:4" s="94" customFormat="1" ht="63" x14ac:dyDescent="0.3">
      <c r="A1" s="91" t="s">
        <v>114</v>
      </c>
      <c r="B1" s="92" t="s">
        <v>1</v>
      </c>
      <c r="C1" s="93" t="s">
        <v>90</v>
      </c>
      <c r="D1" s="91" t="s">
        <v>113</v>
      </c>
    </row>
    <row r="2" spans="1:4" x14ac:dyDescent="0.3">
      <c r="A2" s="95" t="s">
        <v>334</v>
      </c>
      <c r="B2" s="96" t="s">
        <v>195</v>
      </c>
      <c r="C2" s="95" t="s">
        <v>336</v>
      </c>
      <c r="D2" s="97">
        <v>44349</v>
      </c>
    </row>
    <row r="3" spans="1:4" x14ac:dyDescent="0.3">
      <c r="A3" s="95" t="s">
        <v>334</v>
      </c>
      <c r="B3" s="96" t="s">
        <v>120</v>
      </c>
      <c r="C3" s="95" t="s">
        <v>121</v>
      </c>
      <c r="D3" s="97">
        <v>44349</v>
      </c>
    </row>
    <row r="4" spans="1:4" x14ac:dyDescent="0.3">
      <c r="A4" s="95" t="s">
        <v>334</v>
      </c>
      <c r="B4" s="96" t="s">
        <v>120</v>
      </c>
      <c r="C4" s="95" t="s">
        <v>281</v>
      </c>
      <c r="D4" s="97">
        <v>44323</v>
      </c>
    </row>
    <row r="5" spans="1:4" x14ac:dyDescent="0.3">
      <c r="A5" s="95" t="s">
        <v>334</v>
      </c>
      <c r="B5" s="96" t="s">
        <v>120</v>
      </c>
      <c r="C5" s="95" t="s">
        <v>326</v>
      </c>
      <c r="D5" s="97">
        <v>44323</v>
      </c>
    </row>
    <row r="6" spans="1:4" x14ac:dyDescent="0.3">
      <c r="A6" s="95" t="s">
        <v>334</v>
      </c>
      <c r="B6" s="96" t="s">
        <v>243</v>
      </c>
      <c r="C6" s="95" t="s">
        <v>244</v>
      </c>
      <c r="D6" s="97">
        <v>44323</v>
      </c>
    </row>
    <row r="7" spans="1:4" x14ac:dyDescent="0.3">
      <c r="A7" s="95" t="s">
        <v>334</v>
      </c>
      <c r="B7" s="96" t="s">
        <v>271</v>
      </c>
      <c r="C7" s="95" t="s">
        <v>272</v>
      </c>
      <c r="D7" s="97">
        <v>44323</v>
      </c>
    </row>
    <row r="8" spans="1:4" x14ac:dyDescent="0.3">
      <c r="D8" s="97"/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UpdateAll">
                <anchor moveWithCells="1">
                  <from>
                    <xdr:col>5</xdr:col>
                    <xdr:colOff>601980</xdr:colOff>
                    <xdr:row>0</xdr:row>
                    <xdr:rowOff>22860</xdr:rowOff>
                  </from>
                  <to>
                    <xdr:col>7</xdr:col>
                    <xdr:colOff>601980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9B024-534F-492F-8EE4-01E50423E05E}">
  <sheetPr codeName="Sheet2"/>
  <dimension ref="A1:AM50"/>
  <sheetViews>
    <sheetView showGridLines="0" zoomScaleNormal="100" workbookViewId="0">
      <selection activeCell="R23" sqref="R23:Z23"/>
    </sheetView>
  </sheetViews>
  <sheetFormatPr defaultRowHeight="14.4" x14ac:dyDescent="0.3"/>
  <cols>
    <col min="1" max="1" width="0.44140625" customWidth="1"/>
    <col min="2" max="2" width="15.88671875" customWidth="1"/>
    <col min="3" max="3" width="15.33203125" customWidth="1"/>
    <col min="4" max="4" width="0.6640625" customWidth="1"/>
    <col min="5" max="5" width="12.88671875" customWidth="1"/>
    <col min="6" max="6" width="16" customWidth="1"/>
    <col min="7" max="7" width="0.5546875" customWidth="1"/>
    <col min="8" max="8" width="12.88671875" customWidth="1"/>
    <col min="9" max="9" width="0.5546875" customWidth="1"/>
    <col min="10" max="23" width="6.5546875" customWidth="1"/>
    <col min="24" max="24" width="0.6640625" customWidth="1"/>
    <col min="25" max="25" width="13.6640625" customWidth="1"/>
    <col min="26" max="26" width="9.44140625" customWidth="1"/>
    <col min="27" max="27" width="0.5546875" customWidth="1"/>
    <col min="28" max="28" width="12.5546875" customWidth="1"/>
    <col min="29" max="30" width="11.44140625" customWidth="1"/>
    <col min="31" max="31" width="0.88671875" customWidth="1"/>
    <col min="32" max="32" width="12.88671875" customWidth="1"/>
    <col min="35" max="35" width="12.5546875" style="64" customWidth="1"/>
    <col min="36" max="37" width="9.109375" style="65"/>
  </cols>
  <sheetData>
    <row r="1" spans="1:39" ht="2.25" customHeight="1" thickBot="1" x14ac:dyDescent="0.35">
      <c r="A1" s="31"/>
      <c r="B1" s="15"/>
      <c r="C1" s="55"/>
      <c r="D1" s="54"/>
      <c r="E1" s="2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63" t="s">
        <v>115</v>
      </c>
      <c r="AJ1" s="10" t="s">
        <v>30</v>
      </c>
      <c r="AK1" s="10" t="s">
        <v>29</v>
      </c>
      <c r="AL1" s="54"/>
      <c r="AM1" s="54"/>
    </row>
    <row r="2" spans="1:39" ht="15.75" customHeight="1" thickBot="1" x14ac:dyDescent="0.35">
      <c r="A2" s="55"/>
      <c r="B2" s="56" t="s">
        <v>1</v>
      </c>
      <c r="C2" s="72"/>
      <c r="D2" s="54"/>
      <c r="E2" s="61" t="s">
        <v>92</v>
      </c>
      <c r="F2" s="62"/>
      <c r="G2" s="1"/>
      <c r="H2" s="163" t="s">
        <v>8</v>
      </c>
      <c r="I2" s="1"/>
      <c r="J2" s="164" t="s">
        <v>9</v>
      </c>
      <c r="K2" s="164"/>
      <c r="L2" s="164"/>
      <c r="M2" s="164"/>
      <c r="N2" s="164"/>
      <c r="O2" s="164"/>
      <c r="P2" s="164"/>
      <c r="Q2" s="164"/>
      <c r="R2" s="165" t="s">
        <v>10</v>
      </c>
      <c r="S2" s="165"/>
      <c r="T2" s="165"/>
      <c r="U2" s="165"/>
      <c r="V2" s="165"/>
      <c r="W2" s="166"/>
      <c r="X2" s="54"/>
      <c r="Y2" s="167"/>
      <c r="Z2" s="167"/>
      <c r="AA2" s="167"/>
      <c r="AB2" s="167"/>
      <c r="AC2" s="167"/>
      <c r="AD2" s="167"/>
      <c r="AE2" s="167"/>
      <c r="AF2" s="168"/>
      <c r="AG2" s="54"/>
      <c r="AH2" s="54"/>
      <c r="AI2" s="63"/>
      <c r="AJ2" s="10"/>
      <c r="AK2" s="10"/>
      <c r="AL2" s="54"/>
      <c r="AM2" s="54"/>
    </row>
    <row r="3" spans="1:39" ht="15" customHeight="1" thickBot="1" x14ac:dyDescent="0.35">
      <c r="A3" s="55"/>
      <c r="B3" s="33" t="s">
        <v>11</v>
      </c>
      <c r="C3" s="73"/>
      <c r="D3" s="54"/>
      <c r="E3" s="33" t="s">
        <v>93</v>
      </c>
      <c r="F3" s="85"/>
      <c r="G3" s="1"/>
      <c r="H3" s="163"/>
      <c r="I3" s="1"/>
      <c r="J3" s="171" t="s">
        <v>12</v>
      </c>
      <c r="K3" s="171"/>
      <c r="L3" s="171" t="s">
        <v>13</v>
      </c>
      <c r="M3" s="171"/>
      <c r="N3" s="171" t="s">
        <v>14</v>
      </c>
      <c r="O3" s="172"/>
      <c r="P3" s="171" t="s">
        <v>6</v>
      </c>
      <c r="Q3" s="171"/>
      <c r="R3" s="171" t="s">
        <v>12</v>
      </c>
      <c r="S3" s="171"/>
      <c r="T3" s="171" t="s">
        <v>13</v>
      </c>
      <c r="U3" s="172"/>
      <c r="V3" s="171" t="s">
        <v>6</v>
      </c>
      <c r="W3" s="173"/>
      <c r="X3" s="54"/>
      <c r="Y3" s="167"/>
      <c r="Z3" s="167"/>
      <c r="AA3" s="167"/>
      <c r="AB3" s="167"/>
      <c r="AC3" s="167"/>
      <c r="AD3" s="167"/>
      <c r="AE3" s="167"/>
      <c r="AF3" s="168"/>
      <c r="AG3" s="54"/>
      <c r="AH3" s="54"/>
      <c r="AI3" s="63"/>
      <c r="AJ3" s="10"/>
      <c r="AK3" s="10"/>
      <c r="AL3" s="54"/>
      <c r="AM3" s="54"/>
    </row>
    <row r="4" spans="1:39" ht="15" customHeight="1" thickBot="1" x14ac:dyDescent="0.35">
      <c r="A4" s="55"/>
      <c r="B4" s="34" t="s">
        <v>15</v>
      </c>
      <c r="C4" s="74"/>
      <c r="D4" s="54"/>
      <c r="E4" s="33" t="s">
        <v>116</v>
      </c>
      <c r="F4" s="86"/>
      <c r="G4" s="1"/>
      <c r="H4" s="174" t="str">
        <f>IF(VALUE(LEFT(F10,FIND("(",F10)-1))/VALUE(LEFT(F13,FIND("(",F13)-1))&gt;1.2,"↑",IF(VALUE(LEFT(F10,FIND("(",F10)-1))/VALUE(LEFT(F13,FIND("(",F13)-1))&lt;0.8,"↓","🗘"))</f>
        <v>↓</v>
      </c>
      <c r="I4" s="1"/>
      <c r="J4" s="3" t="s">
        <v>16</v>
      </c>
      <c r="K4" s="4" t="s">
        <v>17</v>
      </c>
      <c r="L4" s="3" t="s">
        <v>16</v>
      </c>
      <c r="M4" s="5" t="s">
        <v>17</v>
      </c>
      <c r="N4" s="3" t="s">
        <v>16</v>
      </c>
      <c r="O4" s="4" t="s">
        <v>17</v>
      </c>
      <c r="P4" s="3" t="s">
        <v>16</v>
      </c>
      <c r="Q4" s="5" t="s">
        <v>17</v>
      </c>
      <c r="R4" s="6" t="s">
        <v>16</v>
      </c>
      <c r="S4" s="4" t="s">
        <v>17</v>
      </c>
      <c r="T4" s="7" t="s">
        <v>16</v>
      </c>
      <c r="U4" s="5" t="s">
        <v>17</v>
      </c>
      <c r="V4" s="6" t="s">
        <v>16</v>
      </c>
      <c r="W4" s="4" t="s">
        <v>17</v>
      </c>
      <c r="X4" s="54"/>
      <c r="Y4" s="167"/>
      <c r="Z4" s="167"/>
      <c r="AA4" s="167"/>
      <c r="AB4" s="167"/>
      <c r="AC4" s="167"/>
      <c r="AD4" s="167"/>
      <c r="AE4" s="167"/>
      <c r="AF4" s="168"/>
      <c r="AG4" s="54"/>
      <c r="AI4" s="63"/>
      <c r="AJ4" s="10"/>
      <c r="AK4" s="10"/>
      <c r="AL4" s="54"/>
      <c r="AM4" s="54"/>
    </row>
    <row r="5" spans="1:39" ht="15.75" customHeight="1" thickBot="1" x14ac:dyDescent="0.35">
      <c r="A5" s="55"/>
      <c r="B5" s="35" t="s">
        <v>19</v>
      </c>
      <c r="C5" s="75"/>
      <c r="D5" s="54"/>
      <c r="E5" s="35" t="s">
        <v>91</v>
      </c>
      <c r="F5" s="87"/>
      <c r="G5" s="1"/>
      <c r="H5" s="175"/>
      <c r="I5" s="1"/>
      <c r="J5" s="38"/>
      <c r="K5" s="39"/>
      <c r="L5" s="40"/>
      <c r="M5" s="41"/>
      <c r="N5" s="40"/>
      <c r="O5" s="42"/>
      <c r="P5" s="38"/>
      <c r="Q5" s="43"/>
      <c r="R5" s="44"/>
      <c r="S5" s="45"/>
      <c r="T5" s="46"/>
      <c r="U5" s="47"/>
      <c r="V5" s="44"/>
      <c r="W5" s="45"/>
      <c r="X5" s="54"/>
      <c r="Y5" s="167"/>
      <c r="Z5" s="167"/>
      <c r="AA5" s="167"/>
      <c r="AB5" s="167"/>
      <c r="AC5" s="167"/>
      <c r="AD5" s="167"/>
      <c r="AE5" s="167"/>
      <c r="AF5" s="168"/>
      <c r="AG5" s="54"/>
      <c r="AH5" s="54"/>
      <c r="AI5" s="63"/>
      <c r="AJ5" s="10"/>
      <c r="AK5" s="10"/>
      <c r="AL5" s="54"/>
      <c r="AM5" s="54"/>
    </row>
    <row r="6" spans="1:39" ht="3.75" customHeight="1" thickBot="1" x14ac:dyDescent="0.35">
      <c r="A6" s="55"/>
      <c r="B6" s="15"/>
      <c r="C6" s="76"/>
      <c r="D6" s="8"/>
      <c r="E6" s="2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167"/>
      <c r="Z6" s="167"/>
      <c r="AA6" s="167"/>
      <c r="AB6" s="167"/>
      <c r="AC6" s="167"/>
      <c r="AD6" s="167"/>
      <c r="AE6" s="167"/>
      <c r="AF6" s="168"/>
      <c r="AG6" s="54"/>
      <c r="AH6" s="54"/>
      <c r="AI6" s="63"/>
      <c r="AJ6" s="10"/>
      <c r="AK6" s="10"/>
      <c r="AL6" s="54"/>
      <c r="AM6" s="54"/>
    </row>
    <row r="7" spans="1:39" ht="15.75" customHeight="1" thickBot="1" x14ac:dyDescent="0.35">
      <c r="A7" s="55"/>
      <c r="B7" s="58" t="s">
        <v>22</v>
      </c>
      <c r="C7" s="77"/>
      <c r="D7" s="9"/>
      <c r="E7" s="186" t="s">
        <v>23</v>
      </c>
      <c r="F7" s="187" t="s">
        <v>24</v>
      </c>
      <c r="G7" s="188" t="s">
        <v>0</v>
      </c>
      <c r="H7" s="188"/>
      <c r="I7" s="188"/>
      <c r="J7" s="189" t="s">
        <v>9</v>
      </c>
      <c r="K7" s="189"/>
      <c r="L7" s="189"/>
      <c r="M7" s="189"/>
      <c r="N7" s="189"/>
      <c r="O7" s="189"/>
      <c r="P7" s="189"/>
      <c r="Q7" s="189"/>
      <c r="R7" s="165" t="s">
        <v>10</v>
      </c>
      <c r="S7" s="190"/>
      <c r="T7" s="190"/>
      <c r="U7" s="190"/>
      <c r="V7" s="190"/>
      <c r="W7" s="191"/>
      <c r="X7" s="54"/>
      <c r="Y7" s="167"/>
      <c r="Z7" s="167"/>
      <c r="AA7" s="167"/>
      <c r="AB7" s="167"/>
      <c r="AC7" s="167"/>
      <c r="AD7" s="167"/>
      <c r="AE7" s="167"/>
      <c r="AF7" s="168"/>
      <c r="AG7" s="54"/>
      <c r="AH7" s="54"/>
      <c r="AI7" s="63"/>
      <c r="AJ7" s="10"/>
      <c r="AK7" s="10"/>
      <c r="AL7" s="54"/>
      <c r="AM7" s="54"/>
    </row>
    <row r="8" spans="1:39" ht="15.75" customHeight="1" thickBot="1" x14ac:dyDescent="0.35">
      <c r="A8" s="55"/>
      <c r="B8" s="36" t="s">
        <v>25</v>
      </c>
      <c r="C8" s="78"/>
      <c r="D8" s="9"/>
      <c r="E8" s="186"/>
      <c r="F8" s="187"/>
      <c r="G8" s="188"/>
      <c r="H8" s="188"/>
      <c r="I8" s="188"/>
      <c r="J8" s="192" t="s">
        <v>12</v>
      </c>
      <c r="K8" s="192"/>
      <c r="L8" s="192" t="s">
        <v>13</v>
      </c>
      <c r="M8" s="171"/>
      <c r="N8" s="192" t="s">
        <v>14</v>
      </c>
      <c r="O8" s="172"/>
      <c r="P8" s="192" t="s">
        <v>6</v>
      </c>
      <c r="Q8" s="171"/>
      <c r="R8" s="192" t="s">
        <v>12</v>
      </c>
      <c r="S8" s="173"/>
      <c r="T8" s="192" t="s">
        <v>13</v>
      </c>
      <c r="U8" s="173"/>
      <c r="V8" s="192" t="s">
        <v>6</v>
      </c>
      <c r="W8" s="172"/>
      <c r="X8" s="54"/>
      <c r="Y8" s="167"/>
      <c r="Z8" s="167"/>
      <c r="AA8" s="167"/>
      <c r="AB8" s="167"/>
      <c r="AC8" s="167"/>
      <c r="AD8" s="167"/>
      <c r="AE8" s="167"/>
      <c r="AF8" s="168"/>
      <c r="AG8" s="54"/>
      <c r="AH8" s="54"/>
      <c r="AI8" s="63"/>
      <c r="AJ8" s="10"/>
      <c r="AK8" s="10"/>
      <c r="AL8" s="54"/>
      <c r="AM8" s="54"/>
    </row>
    <row r="9" spans="1:39" ht="15.75" customHeight="1" thickBot="1" x14ac:dyDescent="0.35">
      <c r="A9" s="55"/>
      <c r="B9" s="36" t="s">
        <v>28</v>
      </c>
      <c r="C9" s="78"/>
      <c r="D9" s="9"/>
      <c r="E9" s="51" t="s">
        <v>29</v>
      </c>
      <c r="F9" s="48" t="s">
        <v>85</v>
      </c>
      <c r="G9" s="176"/>
      <c r="H9" s="176"/>
      <c r="I9" s="176"/>
      <c r="J9" s="177"/>
      <c r="K9" s="177"/>
      <c r="L9" s="177"/>
      <c r="M9" s="178"/>
      <c r="N9" s="177"/>
      <c r="O9" s="179"/>
      <c r="P9" s="177"/>
      <c r="Q9" s="178"/>
      <c r="R9" s="177"/>
      <c r="S9" s="179"/>
      <c r="T9" s="177"/>
      <c r="U9" s="180"/>
      <c r="V9" s="177"/>
      <c r="W9" s="179"/>
      <c r="X9" s="54"/>
      <c r="Y9" s="167"/>
      <c r="Z9" s="167"/>
      <c r="AA9" s="167"/>
      <c r="AB9" s="167"/>
      <c r="AC9" s="167"/>
      <c r="AD9" s="167"/>
      <c r="AE9" s="167"/>
      <c r="AF9" s="168"/>
      <c r="AG9" s="54"/>
      <c r="AH9" s="54"/>
      <c r="AI9" s="63"/>
      <c r="AJ9" s="10"/>
      <c r="AK9" s="10"/>
      <c r="AL9" s="54"/>
      <c r="AM9" s="54"/>
    </row>
    <row r="10" spans="1:39" ht="15.75" customHeight="1" thickBot="1" x14ac:dyDescent="0.35">
      <c r="A10" s="55"/>
      <c r="B10" s="36" t="s">
        <v>7</v>
      </c>
      <c r="C10" s="78"/>
      <c r="D10" s="9"/>
      <c r="E10" s="51" t="s">
        <v>86</v>
      </c>
      <c r="F10" s="49" t="s">
        <v>87</v>
      </c>
      <c r="G10" s="181"/>
      <c r="H10" s="181"/>
      <c r="I10" s="181"/>
      <c r="J10" s="182">
        <f>SUM(J5:K5)</f>
        <v>0</v>
      </c>
      <c r="K10" s="182"/>
      <c r="L10" s="183">
        <f>SUM(L5:M5)</f>
        <v>0</v>
      </c>
      <c r="M10" s="184"/>
      <c r="N10" s="183">
        <f>SUM(N5:O5)</f>
        <v>0</v>
      </c>
      <c r="O10" s="185"/>
      <c r="P10" s="182">
        <f>SUM(P5:Q5)</f>
        <v>0</v>
      </c>
      <c r="Q10" s="193"/>
      <c r="R10" s="182">
        <f>SUM(R5:S5)</f>
        <v>0</v>
      </c>
      <c r="S10" s="194"/>
      <c r="T10" s="182">
        <f>SUM(T5:U5)</f>
        <v>0</v>
      </c>
      <c r="U10" s="195"/>
      <c r="V10" s="182">
        <f>SUM(V5:W5)</f>
        <v>0</v>
      </c>
      <c r="W10" s="194"/>
      <c r="X10" s="54"/>
      <c r="Y10" s="167"/>
      <c r="Z10" s="167"/>
      <c r="AA10" s="167"/>
      <c r="AB10" s="167"/>
      <c r="AC10" s="167"/>
      <c r="AD10" s="167"/>
      <c r="AE10" s="167"/>
      <c r="AF10" s="168"/>
      <c r="AG10" s="54"/>
      <c r="AH10" s="54"/>
      <c r="AI10" s="63"/>
      <c r="AJ10" s="10"/>
      <c r="AK10" s="10"/>
      <c r="AL10" s="54"/>
      <c r="AM10" s="54"/>
    </row>
    <row r="11" spans="1:39" ht="15.75" customHeight="1" thickBot="1" x14ac:dyDescent="0.35">
      <c r="A11" s="55"/>
      <c r="B11" s="37" t="s">
        <v>32</v>
      </c>
      <c r="C11" s="79"/>
      <c r="D11" s="9"/>
      <c r="E11" s="52" t="s">
        <v>84</v>
      </c>
      <c r="F11" s="88">
        <f>VALUE(LEFT(F9,FIND("(",F9)-1))-VALUE(LEFT(F10,FIND("(",F10)-1))</f>
        <v>-5746</v>
      </c>
      <c r="G11" s="196">
        <f>G9-G10</f>
        <v>0</v>
      </c>
      <c r="H11" s="196"/>
      <c r="I11" s="196"/>
      <c r="J11" s="197">
        <f>J9-J10</f>
        <v>0</v>
      </c>
      <c r="K11" s="197"/>
      <c r="L11" s="198">
        <f>L9-L10</f>
        <v>0</v>
      </c>
      <c r="M11" s="199"/>
      <c r="N11" s="200">
        <f>N9-N10</f>
        <v>0</v>
      </c>
      <c r="O11" s="201"/>
      <c r="P11" s="197">
        <f>P9-P10</f>
        <v>0</v>
      </c>
      <c r="Q11" s="202"/>
      <c r="R11" s="200">
        <f>R9-R10</f>
        <v>0</v>
      </c>
      <c r="S11" s="201"/>
      <c r="T11" s="200">
        <f>T9-T10</f>
        <v>0</v>
      </c>
      <c r="U11" s="203"/>
      <c r="V11" s="200">
        <f>V9-V10</f>
        <v>0</v>
      </c>
      <c r="W11" s="201"/>
      <c r="X11" s="54"/>
      <c r="Y11" s="169"/>
      <c r="Z11" s="169"/>
      <c r="AA11" s="169"/>
      <c r="AB11" s="169"/>
      <c r="AC11" s="169"/>
      <c r="AD11" s="169"/>
      <c r="AE11" s="169"/>
      <c r="AF11" s="170"/>
      <c r="AG11" s="54"/>
      <c r="AH11" s="54"/>
      <c r="AI11" s="63"/>
      <c r="AJ11" s="10"/>
      <c r="AK11" s="10"/>
      <c r="AL11" s="54"/>
      <c r="AM11" s="54"/>
    </row>
    <row r="12" spans="1:39" ht="3" customHeight="1" thickBot="1" x14ac:dyDescent="0.35">
      <c r="A12" s="55"/>
      <c r="B12" s="15"/>
      <c r="C12" s="80"/>
      <c r="D12" s="54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63"/>
      <c r="AJ12" s="10"/>
      <c r="AK12" s="10"/>
      <c r="AL12" s="54"/>
      <c r="AM12" s="54"/>
    </row>
    <row r="13" spans="1:39" ht="15.75" customHeight="1" thickBot="1" x14ac:dyDescent="0.35">
      <c r="A13" s="55"/>
      <c r="B13" s="58" t="s">
        <v>33</v>
      </c>
      <c r="C13" s="81"/>
      <c r="D13" s="54"/>
      <c r="E13" s="53" t="s">
        <v>35</v>
      </c>
      <c r="F13" s="50" t="s">
        <v>36</v>
      </c>
      <c r="G13" s="232">
        <v>91548</v>
      </c>
      <c r="H13" s="232"/>
      <c r="I13" s="232"/>
      <c r="J13" s="223">
        <v>71</v>
      </c>
      <c r="K13" s="223"/>
      <c r="L13" s="233">
        <v>-35</v>
      </c>
      <c r="M13" s="233"/>
      <c r="N13" s="223">
        <v>40</v>
      </c>
      <c r="O13" s="224"/>
      <c r="P13" s="223">
        <v>34</v>
      </c>
      <c r="Q13" s="233"/>
      <c r="R13" s="223">
        <v>20</v>
      </c>
      <c r="S13" s="224"/>
      <c r="T13" s="221">
        <v>20</v>
      </c>
      <c r="U13" s="222"/>
      <c r="V13" s="223">
        <v>0</v>
      </c>
      <c r="W13" s="224"/>
      <c r="X13" s="54"/>
      <c r="Y13" s="309" t="s">
        <v>117</v>
      </c>
      <c r="Z13" s="308"/>
      <c r="AA13" s="306" t="s">
        <v>118</v>
      </c>
      <c r="AB13" s="307"/>
      <c r="AC13" s="308"/>
      <c r="AD13" s="307" t="s">
        <v>119</v>
      </c>
      <c r="AE13" s="307"/>
      <c r="AF13" s="310"/>
      <c r="AG13" s="54"/>
      <c r="AH13" s="54"/>
      <c r="AI13" s="63"/>
      <c r="AJ13" s="10"/>
      <c r="AK13" s="10"/>
      <c r="AL13" s="54"/>
      <c r="AM13" s="54"/>
    </row>
    <row r="14" spans="1:39" ht="15.75" customHeight="1" thickBot="1" x14ac:dyDescent="0.35">
      <c r="A14" s="55"/>
      <c r="B14" s="36" t="s">
        <v>37</v>
      </c>
      <c r="C14" s="82"/>
      <c r="D14" s="54"/>
      <c r="E14" s="2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319"/>
      <c r="Z14" s="316"/>
      <c r="AA14" s="315"/>
      <c r="AB14" s="311"/>
      <c r="AC14" s="316"/>
      <c r="AD14" s="311"/>
      <c r="AE14" s="311"/>
      <c r="AF14" s="312"/>
      <c r="AG14" s="54"/>
      <c r="AH14" s="54"/>
      <c r="AI14" s="63"/>
      <c r="AJ14" s="10"/>
      <c r="AK14" s="10"/>
      <c r="AL14" s="54"/>
      <c r="AM14" s="54"/>
    </row>
    <row r="15" spans="1:39" ht="15" customHeight="1" x14ac:dyDescent="0.3">
      <c r="A15" s="55"/>
      <c r="B15" s="36" t="s">
        <v>38</v>
      </c>
      <c r="C15" s="82"/>
      <c r="D15" s="10"/>
      <c r="E15" s="56" t="s">
        <v>39</v>
      </c>
      <c r="F15" s="225" t="s">
        <v>40</v>
      </c>
      <c r="G15" s="226"/>
      <c r="H15" s="227"/>
      <c r="I15" s="54"/>
      <c r="J15" s="228" t="s">
        <v>41</v>
      </c>
      <c r="K15" s="229"/>
      <c r="L15" s="229"/>
      <c r="M15" s="229"/>
      <c r="N15" s="229"/>
      <c r="O15" s="229"/>
      <c r="P15" s="229"/>
      <c r="Q15" s="229"/>
      <c r="R15" s="229"/>
      <c r="S15" s="230" t="s">
        <v>42</v>
      </c>
      <c r="T15" s="230"/>
      <c r="U15" s="230"/>
      <c r="V15" s="230"/>
      <c r="W15" s="231"/>
      <c r="X15" s="54"/>
      <c r="Y15" s="319"/>
      <c r="Z15" s="316"/>
      <c r="AA15" s="315"/>
      <c r="AB15" s="311"/>
      <c r="AC15" s="316"/>
      <c r="AD15" s="311"/>
      <c r="AE15" s="311"/>
      <c r="AF15" s="312"/>
      <c r="AG15" s="63"/>
      <c r="AH15" s="54"/>
      <c r="AI15" s="63"/>
      <c r="AJ15" s="10"/>
      <c r="AK15" s="10"/>
      <c r="AL15" s="54"/>
      <c r="AM15" s="54"/>
    </row>
    <row r="16" spans="1:39" ht="15" customHeight="1" x14ac:dyDescent="0.3">
      <c r="A16" s="55"/>
      <c r="B16" s="36" t="s">
        <v>43</v>
      </c>
      <c r="C16" s="82"/>
      <c r="D16" s="10"/>
      <c r="E16" s="204"/>
      <c r="F16" s="207"/>
      <c r="G16" s="208"/>
      <c r="H16" s="209"/>
      <c r="I16" s="54"/>
      <c r="J16" s="18">
        <v>1</v>
      </c>
      <c r="K16" s="22">
        <v>0.2</v>
      </c>
      <c r="L16" s="216" t="s">
        <v>44</v>
      </c>
      <c r="M16" s="216"/>
      <c r="N16" s="216"/>
      <c r="O16" s="216"/>
      <c r="P16" s="216"/>
      <c r="Q16" s="216"/>
      <c r="R16" s="216"/>
      <c r="S16" s="217" t="s">
        <v>82</v>
      </c>
      <c r="T16" s="217"/>
      <c r="U16" s="217"/>
      <c r="V16" s="217"/>
      <c r="W16" s="218"/>
      <c r="X16" s="54"/>
      <c r="Y16" s="319"/>
      <c r="Z16" s="316"/>
      <c r="AA16" s="315"/>
      <c r="AB16" s="311"/>
      <c r="AC16" s="316"/>
      <c r="AD16" s="311"/>
      <c r="AE16" s="311"/>
      <c r="AF16" s="312"/>
      <c r="AG16" s="54"/>
      <c r="AH16" s="54"/>
      <c r="AI16" s="63"/>
      <c r="AJ16" s="10"/>
      <c r="AK16" s="10"/>
      <c r="AL16" s="54"/>
      <c r="AM16" s="54"/>
    </row>
    <row r="17" spans="1:39" ht="15" customHeight="1" x14ac:dyDescent="0.3">
      <c r="A17" s="55"/>
      <c r="B17" s="36" t="s">
        <v>45</v>
      </c>
      <c r="C17" s="82"/>
      <c r="D17" s="10"/>
      <c r="E17" s="205"/>
      <c r="F17" s="210"/>
      <c r="G17" s="211"/>
      <c r="H17" s="212"/>
      <c r="I17" s="54"/>
      <c r="J17" s="18">
        <v>2</v>
      </c>
      <c r="K17" s="22">
        <v>0.3</v>
      </c>
      <c r="L17" s="216" t="s">
        <v>46</v>
      </c>
      <c r="M17" s="216"/>
      <c r="N17" s="216"/>
      <c r="O17" s="216"/>
      <c r="P17" s="216"/>
      <c r="Q17" s="216"/>
      <c r="R17" s="216"/>
      <c r="S17" s="219" t="s">
        <v>82</v>
      </c>
      <c r="T17" s="219"/>
      <c r="U17" s="219"/>
      <c r="V17" s="219"/>
      <c r="W17" s="220"/>
      <c r="X17" s="54"/>
      <c r="Y17" s="319"/>
      <c r="Z17" s="316"/>
      <c r="AA17" s="315"/>
      <c r="AB17" s="311"/>
      <c r="AC17" s="316"/>
      <c r="AD17" s="311"/>
      <c r="AE17" s="311"/>
      <c r="AF17" s="312"/>
      <c r="AG17" s="54"/>
      <c r="AH17" s="54"/>
      <c r="AI17" s="63"/>
      <c r="AJ17" s="10"/>
      <c r="AK17" s="10"/>
      <c r="AL17" s="54"/>
      <c r="AM17" s="54"/>
    </row>
    <row r="18" spans="1:39" ht="15.75" customHeight="1" thickBot="1" x14ac:dyDescent="0.35">
      <c r="A18" s="55"/>
      <c r="B18" s="37" t="s">
        <v>47</v>
      </c>
      <c r="C18" s="83"/>
      <c r="D18" s="10"/>
      <c r="E18" s="206"/>
      <c r="F18" s="213"/>
      <c r="G18" s="214"/>
      <c r="H18" s="215"/>
      <c r="I18" s="54"/>
      <c r="J18" s="18">
        <v>3</v>
      </c>
      <c r="K18" s="22">
        <v>0.2</v>
      </c>
      <c r="L18" s="216" t="s">
        <v>48</v>
      </c>
      <c r="M18" s="216"/>
      <c r="N18" s="216"/>
      <c r="O18" s="216"/>
      <c r="P18" s="216"/>
      <c r="Q18" s="216"/>
      <c r="R18" s="216"/>
      <c r="S18" s="219" t="s">
        <v>82</v>
      </c>
      <c r="T18" s="219"/>
      <c r="U18" s="219"/>
      <c r="V18" s="219"/>
      <c r="W18" s="220"/>
      <c r="X18" s="54"/>
      <c r="Y18" s="319"/>
      <c r="Z18" s="316"/>
      <c r="AA18" s="315"/>
      <c r="AB18" s="311"/>
      <c r="AC18" s="316"/>
      <c r="AD18" s="311"/>
      <c r="AE18" s="311"/>
      <c r="AF18" s="312"/>
      <c r="AG18" s="54"/>
      <c r="AH18" s="54"/>
      <c r="AI18" s="63"/>
      <c r="AJ18" s="10"/>
      <c r="AK18" s="10"/>
      <c r="AL18" s="54"/>
      <c r="AM18" s="54"/>
    </row>
    <row r="19" spans="1:39" ht="2.25" customHeight="1" thickBot="1" x14ac:dyDescent="0.35">
      <c r="A19" s="55"/>
      <c r="B19" s="16"/>
      <c r="C19" s="59"/>
      <c r="D19" s="10"/>
      <c r="E19" s="11"/>
      <c r="F19" s="17"/>
      <c r="G19" s="17"/>
      <c r="H19" s="17"/>
      <c r="I19" s="54"/>
      <c r="J19" s="266">
        <v>4</v>
      </c>
      <c r="K19" s="268">
        <v>0.1</v>
      </c>
      <c r="L19" s="270" t="s">
        <v>49</v>
      </c>
      <c r="M19" s="271"/>
      <c r="N19" s="271"/>
      <c r="O19" s="271"/>
      <c r="P19" s="271"/>
      <c r="Q19" s="271"/>
      <c r="R19" s="272"/>
      <c r="S19" s="276" t="s">
        <v>82</v>
      </c>
      <c r="T19" s="277"/>
      <c r="U19" s="277"/>
      <c r="V19" s="277"/>
      <c r="W19" s="278"/>
      <c r="X19" s="54"/>
      <c r="Y19" s="319"/>
      <c r="Z19" s="316"/>
      <c r="AA19" s="315"/>
      <c r="AB19" s="311"/>
      <c r="AC19" s="316"/>
      <c r="AD19" s="311"/>
      <c r="AE19" s="311"/>
      <c r="AF19" s="312"/>
      <c r="AG19" s="54"/>
      <c r="AH19" s="54"/>
      <c r="AI19" s="63"/>
      <c r="AJ19" s="10"/>
      <c r="AK19" s="10"/>
      <c r="AL19" s="54"/>
      <c r="AM19" s="54"/>
    </row>
    <row r="20" spans="1:39" ht="15" customHeight="1" x14ac:dyDescent="0.3">
      <c r="A20" s="54"/>
      <c r="B20" s="249"/>
      <c r="C20" s="250"/>
      <c r="D20" s="250"/>
      <c r="E20" s="250"/>
      <c r="F20" s="250"/>
      <c r="G20" s="250"/>
      <c r="H20" s="251"/>
      <c r="I20" s="54"/>
      <c r="J20" s="267"/>
      <c r="K20" s="269"/>
      <c r="L20" s="273"/>
      <c r="M20" s="274"/>
      <c r="N20" s="274"/>
      <c r="O20" s="274"/>
      <c r="P20" s="274"/>
      <c r="Q20" s="274"/>
      <c r="R20" s="275"/>
      <c r="S20" s="279"/>
      <c r="T20" s="280"/>
      <c r="U20" s="280"/>
      <c r="V20" s="280"/>
      <c r="W20" s="281"/>
      <c r="X20" s="54"/>
      <c r="Y20" s="319"/>
      <c r="Z20" s="316"/>
      <c r="AA20" s="315"/>
      <c r="AB20" s="311"/>
      <c r="AC20" s="316"/>
      <c r="AD20" s="311"/>
      <c r="AE20" s="311"/>
      <c r="AF20" s="312"/>
      <c r="AG20" s="54"/>
      <c r="AH20" s="54"/>
      <c r="AI20" s="63"/>
      <c r="AJ20" s="10"/>
      <c r="AK20" s="10"/>
      <c r="AL20" s="54"/>
      <c r="AM20" s="54"/>
    </row>
    <row r="21" spans="1:39" ht="15.75" customHeight="1" thickBot="1" x14ac:dyDescent="0.35">
      <c r="A21" s="54"/>
      <c r="B21" s="252"/>
      <c r="C21" s="253"/>
      <c r="D21" s="253"/>
      <c r="E21" s="253"/>
      <c r="F21" s="253"/>
      <c r="G21" s="253"/>
      <c r="H21" s="254"/>
      <c r="I21" s="54"/>
      <c r="J21" s="19">
        <v>5</v>
      </c>
      <c r="K21" s="23">
        <v>0.2</v>
      </c>
      <c r="L21" s="255" t="s">
        <v>50</v>
      </c>
      <c r="M21" s="255"/>
      <c r="N21" s="255"/>
      <c r="O21" s="255"/>
      <c r="P21" s="255"/>
      <c r="Q21" s="255"/>
      <c r="R21" s="255"/>
      <c r="S21" s="256" t="s">
        <v>82</v>
      </c>
      <c r="T21" s="256"/>
      <c r="U21" s="256"/>
      <c r="V21" s="256"/>
      <c r="W21" s="257"/>
      <c r="X21" s="54"/>
      <c r="Y21" s="320"/>
      <c r="Z21" s="318"/>
      <c r="AA21" s="317"/>
      <c r="AB21" s="313"/>
      <c r="AC21" s="318"/>
      <c r="AD21" s="313"/>
      <c r="AE21" s="313"/>
      <c r="AF21" s="314"/>
      <c r="AG21" s="54"/>
      <c r="AH21" s="54"/>
      <c r="AI21" s="63"/>
      <c r="AJ21" s="10"/>
      <c r="AK21" s="10"/>
      <c r="AL21" s="54"/>
      <c r="AM21" s="54"/>
    </row>
    <row r="22" spans="1:39" ht="2.25" customHeight="1" thickBot="1" x14ac:dyDescent="0.35">
      <c r="A22" s="54"/>
      <c r="B22" s="2"/>
      <c r="C22" s="54"/>
      <c r="D22" s="10"/>
      <c r="E22" s="8"/>
      <c r="F22" s="14"/>
      <c r="G22" s="14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4"/>
      <c r="AC22" s="54"/>
      <c r="AD22" s="54"/>
      <c r="AE22" s="54"/>
      <c r="AF22" s="54"/>
      <c r="AG22" s="54"/>
      <c r="AH22" s="54"/>
      <c r="AI22" s="63"/>
      <c r="AJ22" s="10"/>
      <c r="AK22" s="10"/>
      <c r="AL22" s="54"/>
      <c r="AM22" s="54"/>
    </row>
    <row r="23" spans="1:39" ht="15" customHeight="1" x14ac:dyDescent="0.3">
      <c r="A23" s="55"/>
      <c r="B23" s="28" t="s">
        <v>51</v>
      </c>
      <c r="C23" s="258" t="s">
        <v>52</v>
      </c>
      <c r="D23" s="259"/>
      <c r="E23" s="260"/>
      <c r="F23" s="29" t="s">
        <v>53</v>
      </c>
      <c r="G23" s="13"/>
      <c r="H23" s="261" t="s">
        <v>54</v>
      </c>
      <c r="I23" s="234"/>
      <c r="J23" s="234"/>
      <c r="K23" s="234"/>
      <c r="L23" s="262" t="s">
        <v>51</v>
      </c>
      <c r="M23" s="262"/>
      <c r="N23" s="262"/>
      <c r="O23" s="234" t="s">
        <v>55</v>
      </c>
      <c r="P23" s="234"/>
      <c r="Q23" s="234"/>
      <c r="R23" s="263" t="s">
        <v>56</v>
      </c>
      <c r="S23" s="264"/>
      <c r="T23" s="264"/>
      <c r="U23" s="264"/>
      <c r="V23" s="264"/>
      <c r="W23" s="264"/>
      <c r="X23" s="264"/>
      <c r="Y23" s="264"/>
      <c r="Z23" s="265"/>
      <c r="AA23" s="54"/>
      <c r="AB23" s="58" t="s">
        <v>57</v>
      </c>
      <c r="AC23" s="57" t="s">
        <v>112</v>
      </c>
      <c r="AD23" s="234" t="s">
        <v>40</v>
      </c>
      <c r="AE23" s="234"/>
      <c r="AF23" s="235"/>
      <c r="AG23" s="54"/>
      <c r="AH23" s="54"/>
      <c r="AI23" s="63"/>
      <c r="AJ23" s="10"/>
      <c r="AK23" s="10"/>
      <c r="AL23" s="54"/>
      <c r="AM23" s="54"/>
    </row>
    <row r="24" spans="1:39" ht="15" customHeight="1" x14ac:dyDescent="0.3">
      <c r="A24" s="55"/>
      <c r="B24" s="89"/>
      <c r="C24" s="236"/>
      <c r="D24" s="237"/>
      <c r="E24" s="238"/>
      <c r="F24" s="21"/>
      <c r="G24" s="70" t="s">
        <v>58</v>
      </c>
      <c r="H24" s="239" t="s">
        <v>58</v>
      </c>
      <c r="I24" s="240"/>
      <c r="J24" s="240"/>
      <c r="K24" s="240"/>
      <c r="L24" s="241" t="s">
        <v>83</v>
      </c>
      <c r="M24" s="242"/>
      <c r="N24" s="243"/>
      <c r="O24" s="241" t="s">
        <v>83</v>
      </c>
      <c r="P24" s="242"/>
      <c r="Q24" s="243"/>
      <c r="R24" s="244" t="s">
        <v>83</v>
      </c>
      <c r="S24" s="245"/>
      <c r="T24" s="245"/>
      <c r="U24" s="245"/>
      <c r="V24" s="245"/>
      <c r="W24" s="245"/>
      <c r="X24" s="245"/>
      <c r="Y24" s="245"/>
      <c r="Z24" s="246"/>
      <c r="AA24" s="69" t="s">
        <v>94</v>
      </c>
      <c r="AB24" s="67" t="s">
        <v>59</v>
      </c>
      <c r="AC24" s="66" t="s">
        <v>83</v>
      </c>
      <c r="AD24" s="247" t="s">
        <v>83</v>
      </c>
      <c r="AE24" s="247"/>
      <c r="AF24" s="248"/>
      <c r="AG24" s="54"/>
      <c r="AH24" s="54"/>
      <c r="AI24" s="63"/>
      <c r="AJ24" s="10"/>
      <c r="AK24" s="10"/>
      <c r="AL24" s="54"/>
      <c r="AM24" s="54"/>
    </row>
    <row r="25" spans="1:39" x14ac:dyDescent="0.3">
      <c r="A25" s="55"/>
      <c r="B25" s="89"/>
      <c r="C25" s="236"/>
      <c r="D25" s="237"/>
      <c r="E25" s="238"/>
      <c r="F25" s="21"/>
      <c r="G25" s="71" t="s">
        <v>4</v>
      </c>
      <c r="H25" s="239" t="s">
        <v>4</v>
      </c>
      <c r="I25" s="240"/>
      <c r="J25" s="240"/>
      <c r="K25" s="240"/>
      <c r="L25" s="241" t="s">
        <v>83</v>
      </c>
      <c r="M25" s="242"/>
      <c r="N25" s="243"/>
      <c r="O25" s="241" t="s">
        <v>83</v>
      </c>
      <c r="P25" s="242"/>
      <c r="Q25" s="243"/>
      <c r="R25" s="244" t="s">
        <v>83</v>
      </c>
      <c r="S25" s="245"/>
      <c r="T25" s="245"/>
      <c r="U25" s="245"/>
      <c r="V25" s="245"/>
      <c r="W25" s="245"/>
      <c r="X25" s="245"/>
      <c r="Y25" s="245"/>
      <c r="Z25" s="246"/>
      <c r="AA25" s="69" t="s">
        <v>95</v>
      </c>
      <c r="AB25" s="67" t="s">
        <v>60</v>
      </c>
      <c r="AC25" s="66" t="s">
        <v>83</v>
      </c>
      <c r="AD25" s="247" t="s">
        <v>83</v>
      </c>
      <c r="AE25" s="247"/>
      <c r="AF25" s="248"/>
      <c r="AG25" s="54"/>
      <c r="AH25" s="54"/>
      <c r="AI25" s="63"/>
      <c r="AJ25" s="10"/>
      <c r="AK25" s="10"/>
      <c r="AL25" s="54"/>
      <c r="AM25" s="54"/>
    </row>
    <row r="26" spans="1:39" x14ac:dyDescent="0.3">
      <c r="A26" s="55"/>
      <c r="B26" s="89"/>
      <c r="C26" s="236"/>
      <c r="D26" s="237"/>
      <c r="E26" s="238"/>
      <c r="F26" s="21"/>
      <c r="G26" s="71" t="s">
        <v>3</v>
      </c>
      <c r="H26" s="239" t="s">
        <v>3</v>
      </c>
      <c r="I26" s="240"/>
      <c r="J26" s="240"/>
      <c r="K26" s="240"/>
      <c r="L26" s="241" t="s">
        <v>83</v>
      </c>
      <c r="M26" s="242"/>
      <c r="N26" s="243"/>
      <c r="O26" s="241" t="s">
        <v>83</v>
      </c>
      <c r="P26" s="242"/>
      <c r="Q26" s="243"/>
      <c r="R26" s="244" t="s">
        <v>83</v>
      </c>
      <c r="S26" s="245"/>
      <c r="T26" s="245"/>
      <c r="U26" s="245"/>
      <c r="V26" s="245"/>
      <c r="W26" s="245"/>
      <c r="X26" s="245"/>
      <c r="Y26" s="245"/>
      <c r="Z26" s="246"/>
      <c r="AA26" s="69" t="s">
        <v>61</v>
      </c>
      <c r="AB26" s="67" t="s">
        <v>61</v>
      </c>
      <c r="AC26" s="66" t="s">
        <v>83</v>
      </c>
      <c r="AD26" s="247" t="s">
        <v>83</v>
      </c>
      <c r="AE26" s="247"/>
      <c r="AF26" s="248"/>
      <c r="AG26" s="54"/>
      <c r="AH26" s="54"/>
      <c r="AI26" s="63"/>
      <c r="AJ26" s="10"/>
      <c r="AK26" s="10"/>
      <c r="AL26" s="54"/>
      <c r="AM26" s="54"/>
    </row>
    <row r="27" spans="1:39" x14ac:dyDescent="0.3">
      <c r="A27" s="55"/>
      <c r="B27" s="89"/>
      <c r="C27" s="236"/>
      <c r="D27" s="237"/>
      <c r="E27" s="238"/>
      <c r="F27" s="21"/>
      <c r="G27" s="71" t="s">
        <v>99</v>
      </c>
      <c r="H27" s="239" t="s">
        <v>2</v>
      </c>
      <c r="I27" s="240"/>
      <c r="J27" s="240"/>
      <c r="K27" s="240"/>
      <c r="L27" s="241" t="s">
        <v>83</v>
      </c>
      <c r="M27" s="242"/>
      <c r="N27" s="243"/>
      <c r="O27" s="241" t="s">
        <v>83</v>
      </c>
      <c r="P27" s="242"/>
      <c r="Q27" s="243"/>
      <c r="R27" s="244" t="s">
        <v>83</v>
      </c>
      <c r="S27" s="245"/>
      <c r="T27" s="245"/>
      <c r="U27" s="245"/>
      <c r="V27" s="245"/>
      <c r="W27" s="245"/>
      <c r="X27" s="245"/>
      <c r="Y27" s="245"/>
      <c r="Z27" s="246"/>
      <c r="AA27" s="69" t="s">
        <v>96</v>
      </c>
      <c r="AB27" s="67" t="s">
        <v>62</v>
      </c>
      <c r="AC27" s="66" t="s">
        <v>83</v>
      </c>
      <c r="AD27" s="247" t="s">
        <v>83</v>
      </c>
      <c r="AE27" s="247"/>
      <c r="AF27" s="248"/>
      <c r="AG27" s="54"/>
      <c r="AH27" s="54"/>
      <c r="AI27" s="63"/>
      <c r="AJ27" s="10"/>
      <c r="AK27" s="10"/>
      <c r="AL27" s="54"/>
      <c r="AM27" s="54"/>
    </row>
    <row r="28" spans="1:39" x14ac:dyDescent="0.3">
      <c r="A28" s="55"/>
      <c r="B28" s="89"/>
      <c r="C28" s="236"/>
      <c r="D28" s="237"/>
      <c r="E28" s="238"/>
      <c r="F28" s="21"/>
      <c r="G28" s="71" t="s">
        <v>100</v>
      </c>
      <c r="H28" s="239" t="s">
        <v>63</v>
      </c>
      <c r="I28" s="240"/>
      <c r="J28" s="240"/>
      <c r="K28" s="240"/>
      <c r="L28" s="241" t="s">
        <v>83</v>
      </c>
      <c r="M28" s="242"/>
      <c r="N28" s="243"/>
      <c r="O28" s="241" t="s">
        <v>83</v>
      </c>
      <c r="P28" s="242"/>
      <c r="Q28" s="243"/>
      <c r="R28" s="244" t="s">
        <v>83</v>
      </c>
      <c r="S28" s="245"/>
      <c r="T28" s="245"/>
      <c r="U28" s="245"/>
      <c r="V28" s="245"/>
      <c r="W28" s="245"/>
      <c r="X28" s="245"/>
      <c r="Y28" s="245"/>
      <c r="Z28" s="246"/>
      <c r="AA28" s="69" t="s">
        <v>97</v>
      </c>
      <c r="AB28" s="67" t="s">
        <v>64</v>
      </c>
      <c r="AC28" s="66" t="s">
        <v>83</v>
      </c>
      <c r="AD28" s="247" t="s">
        <v>83</v>
      </c>
      <c r="AE28" s="247"/>
      <c r="AF28" s="248"/>
      <c r="AG28" s="54"/>
      <c r="AH28" s="54"/>
      <c r="AI28" s="63"/>
      <c r="AJ28" s="10"/>
      <c r="AK28" s="10"/>
      <c r="AL28" s="54"/>
      <c r="AM28" s="54"/>
    </row>
    <row r="29" spans="1:39" x14ac:dyDescent="0.3">
      <c r="A29" s="55"/>
      <c r="B29" s="89"/>
      <c r="C29" s="236"/>
      <c r="D29" s="237"/>
      <c r="E29" s="238"/>
      <c r="F29" s="21"/>
      <c r="G29" s="71" t="s">
        <v>101</v>
      </c>
      <c r="H29" s="239" t="s">
        <v>65</v>
      </c>
      <c r="I29" s="240"/>
      <c r="J29" s="240"/>
      <c r="K29" s="240"/>
      <c r="L29" s="241" t="s">
        <v>83</v>
      </c>
      <c r="M29" s="242"/>
      <c r="N29" s="243"/>
      <c r="O29" s="241" t="s">
        <v>83</v>
      </c>
      <c r="P29" s="242"/>
      <c r="Q29" s="243"/>
      <c r="R29" s="244" t="s">
        <v>83</v>
      </c>
      <c r="S29" s="245"/>
      <c r="T29" s="245"/>
      <c r="U29" s="245"/>
      <c r="V29" s="245"/>
      <c r="W29" s="245"/>
      <c r="X29" s="245"/>
      <c r="Y29" s="245"/>
      <c r="Z29" s="246"/>
      <c r="AA29" s="69" t="s">
        <v>66</v>
      </c>
      <c r="AB29" s="67" t="s">
        <v>66</v>
      </c>
      <c r="AC29" s="66" t="s">
        <v>83</v>
      </c>
      <c r="AD29" s="247" t="s">
        <v>83</v>
      </c>
      <c r="AE29" s="247"/>
      <c r="AF29" s="248"/>
      <c r="AG29" s="54"/>
      <c r="AH29" s="54"/>
      <c r="AI29" s="63"/>
      <c r="AJ29" s="10"/>
      <c r="AK29" s="10"/>
      <c r="AL29" s="54"/>
      <c r="AM29" s="54"/>
    </row>
    <row r="30" spans="1:39" ht="15" thickBot="1" x14ac:dyDescent="0.35">
      <c r="A30" s="55"/>
      <c r="B30" s="89"/>
      <c r="C30" s="236"/>
      <c r="D30" s="237"/>
      <c r="E30" s="238"/>
      <c r="F30" s="21"/>
      <c r="G30" s="71" t="s">
        <v>102</v>
      </c>
      <c r="H30" s="239" t="s">
        <v>67</v>
      </c>
      <c r="I30" s="240"/>
      <c r="J30" s="240"/>
      <c r="K30" s="240"/>
      <c r="L30" s="241" t="s">
        <v>83</v>
      </c>
      <c r="M30" s="242"/>
      <c r="N30" s="243"/>
      <c r="O30" s="241" t="s">
        <v>83</v>
      </c>
      <c r="P30" s="242"/>
      <c r="Q30" s="243"/>
      <c r="R30" s="244" t="s">
        <v>83</v>
      </c>
      <c r="S30" s="245"/>
      <c r="T30" s="245"/>
      <c r="U30" s="245"/>
      <c r="V30" s="245"/>
      <c r="W30" s="245"/>
      <c r="X30" s="245"/>
      <c r="Y30" s="245"/>
      <c r="Z30" s="246"/>
      <c r="AA30" s="69" t="s">
        <v>98</v>
      </c>
      <c r="AB30" s="68" t="s">
        <v>68</v>
      </c>
      <c r="AC30" s="84" t="s">
        <v>83</v>
      </c>
      <c r="AD30" s="282" t="s">
        <v>83</v>
      </c>
      <c r="AE30" s="282"/>
      <c r="AF30" s="283"/>
      <c r="AG30" s="54"/>
      <c r="AH30" s="54"/>
      <c r="AI30" s="63"/>
      <c r="AJ30" s="10"/>
      <c r="AK30" s="10"/>
      <c r="AL30" s="54"/>
      <c r="AM30" s="54"/>
    </row>
    <row r="31" spans="1:39" ht="15" thickBot="1" x14ac:dyDescent="0.35">
      <c r="A31" s="55"/>
      <c r="B31" s="89"/>
      <c r="C31" s="236"/>
      <c r="D31" s="237"/>
      <c r="E31" s="238"/>
      <c r="F31" s="21"/>
      <c r="G31" s="71" t="s">
        <v>103</v>
      </c>
      <c r="H31" s="239" t="s">
        <v>69</v>
      </c>
      <c r="I31" s="240"/>
      <c r="J31" s="240"/>
      <c r="K31" s="240"/>
      <c r="L31" s="241" t="s">
        <v>83</v>
      </c>
      <c r="M31" s="242"/>
      <c r="N31" s="243"/>
      <c r="O31" s="241" t="s">
        <v>83</v>
      </c>
      <c r="P31" s="242"/>
      <c r="Q31" s="243"/>
      <c r="R31" s="244" t="s">
        <v>83</v>
      </c>
      <c r="S31" s="245"/>
      <c r="T31" s="245"/>
      <c r="U31" s="245"/>
      <c r="V31" s="245"/>
      <c r="W31" s="245"/>
      <c r="X31" s="245"/>
      <c r="Y31" s="245"/>
      <c r="Z31" s="246"/>
      <c r="AA31" s="54"/>
      <c r="AB31" s="289"/>
      <c r="AC31" s="289"/>
      <c r="AD31" s="289"/>
      <c r="AE31" s="289"/>
      <c r="AF31" s="289"/>
      <c r="AG31" s="54"/>
      <c r="AH31" s="54"/>
      <c r="AI31" s="63"/>
      <c r="AJ31" s="10"/>
      <c r="AK31" s="10"/>
      <c r="AL31" s="54"/>
      <c r="AM31" s="54"/>
    </row>
    <row r="32" spans="1:39" x14ac:dyDescent="0.3">
      <c r="A32" s="55"/>
      <c r="B32" s="89"/>
      <c r="C32" s="236"/>
      <c r="D32" s="237"/>
      <c r="E32" s="238"/>
      <c r="F32" s="21"/>
      <c r="G32" s="71" t="s">
        <v>104</v>
      </c>
      <c r="H32" s="239" t="s">
        <v>70</v>
      </c>
      <c r="I32" s="240"/>
      <c r="J32" s="240"/>
      <c r="K32" s="240"/>
      <c r="L32" s="241" t="s">
        <v>83</v>
      </c>
      <c r="M32" s="242"/>
      <c r="N32" s="243"/>
      <c r="O32" s="241" t="s">
        <v>83</v>
      </c>
      <c r="P32" s="242"/>
      <c r="Q32" s="243"/>
      <c r="R32" s="244" t="s">
        <v>83</v>
      </c>
      <c r="S32" s="245"/>
      <c r="T32" s="245"/>
      <c r="U32" s="245"/>
      <c r="V32" s="245"/>
      <c r="W32" s="245"/>
      <c r="X32" s="245"/>
      <c r="Y32" s="245"/>
      <c r="Z32" s="246"/>
      <c r="AA32" s="54"/>
      <c r="AB32" s="30" t="s">
        <v>71</v>
      </c>
      <c r="AC32" s="290" t="s">
        <v>72</v>
      </c>
      <c r="AD32" s="291"/>
      <c r="AE32" s="31"/>
      <c r="AF32" s="32" t="s">
        <v>73</v>
      </c>
      <c r="AG32" s="54"/>
      <c r="AH32" s="54"/>
      <c r="AI32" s="63"/>
      <c r="AJ32" s="10"/>
      <c r="AK32" s="10"/>
      <c r="AL32" s="54"/>
      <c r="AM32" s="54"/>
    </row>
    <row r="33" spans="1:39" x14ac:dyDescent="0.3">
      <c r="A33" s="55"/>
      <c r="B33" s="89"/>
      <c r="C33" s="236"/>
      <c r="D33" s="237"/>
      <c r="E33" s="238"/>
      <c r="F33" s="21"/>
      <c r="G33" s="71" t="s">
        <v>105</v>
      </c>
      <c r="H33" s="284" t="s">
        <v>74</v>
      </c>
      <c r="I33" s="285"/>
      <c r="J33" s="285"/>
      <c r="K33" s="286"/>
      <c r="L33" s="241" t="s">
        <v>83</v>
      </c>
      <c r="M33" s="242"/>
      <c r="N33" s="243"/>
      <c r="O33" s="241" t="s">
        <v>83</v>
      </c>
      <c r="P33" s="242"/>
      <c r="Q33" s="243"/>
      <c r="R33" s="244" t="s">
        <v>83</v>
      </c>
      <c r="S33" s="245"/>
      <c r="T33" s="245"/>
      <c r="U33" s="245"/>
      <c r="V33" s="245"/>
      <c r="W33" s="245"/>
      <c r="X33" s="245"/>
      <c r="Y33" s="245"/>
      <c r="Z33" s="246"/>
      <c r="AA33" s="54"/>
      <c r="AB33" s="24"/>
      <c r="AC33" s="287"/>
      <c r="AD33" s="288"/>
      <c r="AE33" s="55"/>
      <c r="AF33" s="26"/>
      <c r="AG33" s="54"/>
      <c r="AH33" s="54"/>
      <c r="AI33" s="63"/>
      <c r="AJ33" s="10"/>
      <c r="AK33" s="10"/>
      <c r="AL33" s="54"/>
      <c r="AM33" s="54"/>
    </row>
    <row r="34" spans="1:39" x14ac:dyDescent="0.3">
      <c r="A34" s="55"/>
      <c r="B34" s="89"/>
      <c r="C34" s="236"/>
      <c r="D34" s="237"/>
      <c r="E34" s="238"/>
      <c r="F34" s="21"/>
      <c r="G34" s="71" t="s">
        <v>106</v>
      </c>
      <c r="H34" s="239" t="s">
        <v>75</v>
      </c>
      <c r="I34" s="240"/>
      <c r="J34" s="240"/>
      <c r="K34" s="240"/>
      <c r="L34" s="241" t="s">
        <v>83</v>
      </c>
      <c r="M34" s="242"/>
      <c r="N34" s="243"/>
      <c r="O34" s="241" t="s">
        <v>83</v>
      </c>
      <c r="P34" s="242"/>
      <c r="Q34" s="243"/>
      <c r="R34" s="244" t="s">
        <v>83</v>
      </c>
      <c r="S34" s="245"/>
      <c r="T34" s="245"/>
      <c r="U34" s="245"/>
      <c r="V34" s="245"/>
      <c r="W34" s="245"/>
      <c r="X34" s="245"/>
      <c r="Y34" s="245"/>
      <c r="Z34" s="246"/>
      <c r="AA34" s="54"/>
      <c r="AB34" s="24"/>
      <c r="AC34" s="287"/>
      <c r="AD34" s="288"/>
      <c r="AE34" s="55"/>
      <c r="AF34" s="26"/>
      <c r="AG34" s="54"/>
      <c r="AH34" s="54"/>
      <c r="AI34" s="63"/>
      <c r="AJ34" s="10"/>
      <c r="AK34" s="10"/>
      <c r="AL34" s="54"/>
      <c r="AM34" s="54"/>
    </row>
    <row r="35" spans="1:39" x14ac:dyDescent="0.3">
      <c r="A35" s="55"/>
      <c r="B35" s="89"/>
      <c r="C35" s="236"/>
      <c r="D35" s="237"/>
      <c r="E35" s="238"/>
      <c r="F35" s="21"/>
      <c r="G35" s="71" t="s">
        <v>5</v>
      </c>
      <c r="H35" s="239" t="s">
        <v>5</v>
      </c>
      <c r="I35" s="240"/>
      <c r="J35" s="240"/>
      <c r="K35" s="240"/>
      <c r="L35" s="241" t="s">
        <v>83</v>
      </c>
      <c r="M35" s="242"/>
      <c r="N35" s="243"/>
      <c r="O35" s="241" t="s">
        <v>83</v>
      </c>
      <c r="P35" s="242"/>
      <c r="Q35" s="243"/>
      <c r="R35" s="244" t="s">
        <v>83</v>
      </c>
      <c r="S35" s="245"/>
      <c r="T35" s="245"/>
      <c r="U35" s="245"/>
      <c r="V35" s="245"/>
      <c r="W35" s="245"/>
      <c r="X35" s="245"/>
      <c r="Y35" s="245"/>
      <c r="Z35" s="246"/>
      <c r="AA35" s="54"/>
      <c r="AB35" s="24"/>
      <c r="AC35" s="287"/>
      <c r="AD35" s="288"/>
      <c r="AE35" s="55"/>
      <c r="AF35" s="26"/>
      <c r="AG35" s="54"/>
      <c r="AH35" s="54"/>
      <c r="AI35" s="63"/>
      <c r="AJ35" s="10"/>
      <c r="AK35" s="10"/>
      <c r="AL35" s="54"/>
      <c r="AM35" s="54"/>
    </row>
    <row r="36" spans="1:39" x14ac:dyDescent="0.3">
      <c r="A36" s="55"/>
      <c r="B36" s="89"/>
      <c r="C36" s="236"/>
      <c r="D36" s="237"/>
      <c r="E36" s="238"/>
      <c r="F36" s="21"/>
      <c r="G36" s="71" t="s">
        <v>107</v>
      </c>
      <c r="H36" s="239" t="s">
        <v>76</v>
      </c>
      <c r="I36" s="240"/>
      <c r="J36" s="240"/>
      <c r="K36" s="240"/>
      <c r="L36" s="241" t="s">
        <v>83</v>
      </c>
      <c r="M36" s="242"/>
      <c r="N36" s="243"/>
      <c r="O36" s="241" t="s">
        <v>83</v>
      </c>
      <c r="P36" s="242"/>
      <c r="Q36" s="243"/>
      <c r="R36" s="244" t="s">
        <v>83</v>
      </c>
      <c r="S36" s="245"/>
      <c r="T36" s="245"/>
      <c r="U36" s="245"/>
      <c r="V36" s="245"/>
      <c r="W36" s="245"/>
      <c r="X36" s="245"/>
      <c r="Y36" s="245"/>
      <c r="Z36" s="246"/>
      <c r="AA36" s="54"/>
      <c r="AB36" s="24"/>
      <c r="AC36" s="287"/>
      <c r="AD36" s="288"/>
      <c r="AE36" s="55"/>
      <c r="AF36" s="26"/>
      <c r="AG36" s="54"/>
      <c r="AH36" s="54"/>
      <c r="AI36" s="63"/>
      <c r="AJ36" s="10"/>
      <c r="AK36" s="10"/>
      <c r="AL36" s="54"/>
      <c r="AM36" s="54"/>
    </row>
    <row r="37" spans="1:39" x14ac:dyDescent="0.3">
      <c r="A37" s="55"/>
      <c r="B37" s="89"/>
      <c r="C37" s="236"/>
      <c r="D37" s="237"/>
      <c r="E37" s="238"/>
      <c r="F37" s="21"/>
      <c r="G37" s="71" t="s">
        <v>108</v>
      </c>
      <c r="H37" s="239" t="s">
        <v>77</v>
      </c>
      <c r="I37" s="240"/>
      <c r="J37" s="240"/>
      <c r="K37" s="240"/>
      <c r="L37" s="241" t="s">
        <v>83</v>
      </c>
      <c r="M37" s="242"/>
      <c r="N37" s="243"/>
      <c r="O37" s="241" t="s">
        <v>83</v>
      </c>
      <c r="P37" s="242"/>
      <c r="Q37" s="243"/>
      <c r="R37" s="244" t="s">
        <v>83</v>
      </c>
      <c r="S37" s="245"/>
      <c r="T37" s="245"/>
      <c r="U37" s="245"/>
      <c r="V37" s="245"/>
      <c r="W37" s="245"/>
      <c r="X37" s="245"/>
      <c r="Y37" s="245"/>
      <c r="Z37" s="246"/>
      <c r="AA37" s="54"/>
      <c r="AB37" s="24"/>
      <c r="AC37" s="287"/>
      <c r="AD37" s="288"/>
      <c r="AE37" s="55"/>
      <c r="AF37" s="26"/>
      <c r="AG37" s="54"/>
      <c r="AH37" s="54"/>
      <c r="AI37" s="63"/>
      <c r="AJ37" s="10"/>
      <c r="AK37" s="10"/>
      <c r="AL37" s="54"/>
      <c r="AM37" s="54"/>
    </row>
    <row r="38" spans="1:39" x14ac:dyDescent="0.3">
      <c r="A38" s="55"/>
      <c r="B38" s="89"/>
      <c r="C38" s="236"/>
      <c r="D38" s="237"/>
      <c r="E38" s="238"/>
      <c r="F38" s="21"/>
      <c r="G38" s="71" t="s">
        <v>109</v>
      </c>
      <c r="H38" s="239" t="s">
        <v>78</v>
      </c>
      <c r="I38" s="240"/>
      <c r="J38" s="240"/>
      <c r="K38" s="240"/>
      <c r="L38" s="241" t="s">
        <v>83</v>
      </c>
      <c r="M38" s="242"/>
      <c r="N38" s="243"/>
      <c r="O38" s="241" t="s">
        <v>83</v>
      </c>
      <c r="P38" s="242"/>
      <c r="Q38" s="243"/>
      <c r="R38" s="244" t="s">
        <v>83</v>
      </c>
      <c r="S38" s="245"/>
      <c r="T38" s="245"/>
      <c r="U38" s="245"/>
      <c r="V38" s="245"/>
      <c r="W38" s="245"/>
      <c r="X38" s="245"/>
      <c r="Y38" s="245"/>
      <c r="Z38" s="246"/>
      <c r="AA38" s="54"/>
      <c r="AB38" s="24"/>
      <c r="AC38" s="287"/>
      <c r="AD38" s="288"/>
      <c r="AE38" s="55"/>
      <c r="AF38" s="26"/>
      <c r="AG38" s="54"/>
      <c r="AH38" s="54"/>
      <c r="AI38" s="63"/>
      <c r="AJ38" s="10"/>
      <c r="AK38" s="10"/>
      <c r="AL38" s="54"/>
      <c r="AM38" s="54"/>
    </row>
    <row r="39" spans="1:39" ht="15" thickBot="1" x14ac:dyDescent="0.35">
      <c r="A39" s="55"/>
      <c r="B39" s="89"/>
      <c r="C39" s="236"/>
      <c r="D39" s="237"/>
      <c r="E39" s="238"/>
      <c r="F39" s="21"/>
      <c r="G39" s="71" t="s">
        <v>79</v>
      </c>
      <c r="H39" s="239" t="s">
        <v>79</v>
      </c>
      <c r="I39" s="240"/>
      <c r="J39" s="240"/>
      <c r="K39" s="240"/>
      <c r="L39" s="241" t="s">
        <v>83</v>
      </c>
      <c r="M39" s="242"/>
      <c r="N39" s="243"/>
      <c r="O39" s="241" t="s">
        <v>83</v>
      </c>
      <c r="P39" s="242"/>
      <c r="Q39" s="243"/>
      <c r="R39" s="244" t="s">
        <v>83</v>
      </c>
      <c r="S39" s="245"/>
      <c r="T39" s="245"/>
      <c r="U39" s="245"/>
      <c r="V39" s="245"/>
      <c r="W39" s="245"/>
      <c r="X39" s="245"/>
      <c r="Y39" s="245"/>
      <c r="Z39" s="246"/>
      <c r="AA39" s="54"/>
      <c r="AB39" s="25"/>
      <c r="AC39" s="321"/>
      <c r="AD39" s="322"/>
      <c r="AE39" s="55"/>
      <c r="AF39" s="27"/>
      <c r="AG39" s="54"/>
      <c r="AH39" s="54"/>
      <c r="AI39" s="63"/>
      <c r="AJ39" s="10"/>
      <c r="AK39" s="10"/>
      <c r="AL39" s="54"/>
      <c r="AM39" s="54"/>
    </row>
    <row r="40" spans="1:39" x14ac:dyDescent="0.3">
      <c r="A40" s="55"/>
      <c r="B40" s="89"/>
      <c r="C40" s="236"/>
      <c r="D40" s="237"/>
      <c r="E40" s="238"/>
      <c r="F40" s="21"/>
      <c r="G40" s="71" t="s">
        <v>110</v>
      </c>
      <c r="H40" s="239" t="s">
        <v>80</v>
      </c>
      <c r="I40" s="240"/>
      <c r="J40" s="240"/>
      <c r="K40" s="240"/>
      <c r="L40" s="241" t="s">
        <v>83</v>
      </c>
      <c r="M40" s="242"/>
      <c r="N40" s="243"/>
      <c r="O40" s="241" t="s">
        <v>83</v>
      </c>
      <c r="P40" s="242"/>
      <c r="Q40" s="243"/>
      <c r="R40" s="244" t="s">
        <v>83</v>
      </c>
      <c r="S40" s="245"/>
      <c r="T40" s="245"/>
      <c r="U40" s="245"/>
      <c r="V40" s="245"/>
      <c r="W40" s="245"/>
      <c r="X40" s="245"/>
      <c r="Y40" s="245"/>
      <c r="Z40" s="246"/>
      <c r="AA40" s="54"/>
      <c r="AB40" s="55"/>
      <c r="AC40" s="55"/>
      <c r="AD40" s="55"/>
      <c r="AE40" s="55"/>
      <c r="AF40" s="55"/>
      <c r="AG40" s="54"/>
      <c r="AH40" s="54"/>
      <c r="AI40" s="63"/>
      <c r="AJ40" s="10"/>
      <c r="AK40" s="10"/>
      <c r="AL40" s="54"/>
      <c r="AM40" s="54"/>
    </row>
    <row r="41" spans="1:39" x14ac:dyDescent="0.3">
      <c r="A41" s="55"/>
      <c r="B41" s="89"/>
      <c r="C41" s="236"/>
      <c r="D41" s="237"/>
      <c r="E41" s="238"/>
      <c r="F41" s="21"/>
      <c r="G41" s="71" t="s">
        <v>111</v>
      </c>
      <c r="H41" s="239" t="s">
        <v>81</v>
      </c>
      <c r="I41" s="240"/>
      <c r="J41" s="240"/>
      <c r="K41" s="240"/>
      <c r="L41" s="241" t="s">
        <v>83</v>
      </c>
      <c r="M41" s="242"/>
      <c r="N41" s="243"/>
      <c r="O41" s="241" t="s">
        <v>83</v>
      </c>
      <c r="P41" s="242"/>
      <c r="Q41" s="243"/>
      <c r="R41" s="244" t="s">
        <v>83</v>
      </c>
      <c r="S41" s="245"/>
      <c r="T41" s="245"/>
      <c r="U41" s="245"/>
      <c r="V41" s="245"/>
      <c r="W41" s="245"/>
      <c r="X41" s="245"/>
      <c r="Y41" s="245"/>
      <c r="Z41" s="246"/>
      <c r="AA41" s="54"/>
      <c r="AB41" s="55"/>
      <c r="AC41" s="55"/>
      <c r="AD41" s="55"/>
      <c r="AE41" s="55"/>
      <c r="AF41" s="55"/>
      <c r="AG41" s="54"/>
      <c r="AH41" s="54"/>
      <c r="AI41" s="63"/>
      <c r="AJ41" s="10"/>
      <c r="AK41" s="10"/>
      <c r="AL41" s="54"/>
      <c r="AM41" s="54"/>
    </row>
    <row r="42" spans="1:39" x14ac:dyDescent="0.3">
      <c r="A42" s="55"/>
      <c r="B42" s="89"/>
      <c r="C42" s="236"/>
      <c r="D42" s="237"/>
      <c r="E42" s="238"/>
      <c r="F42" s="21"/>
      <c r="G42" s="71" t="s">
        <v>14</v>
      </c>
      <c r="H42" s="239" t="s">
        <v>88</v>
      </c>
      <c r="I42" s="240"/>
      <c r="J42" s="240"/>
      <c r="K42" s="240"/>
      <c r="L42" s="241" t="s">
        <v>83</v>
      </c>
      <c r="M42" s="242"/>
      <c r="N42" s="243"/>
      <c r="O42" s="241" t="s">
        <v>83</v>
      </c>
      <c r="P42" s="242"/>
      <c r="Q42" s="243"/>
      <c r="R42" s="244" t="s">
        <v>83</v>
      </c>
      <c r="S42" s="245"/>
      <c r="T42" s="245"/>
      <c r="U42" s="245"/>
      <c r="V42" s="245"/>
      <c r="W42" s="245"/>
      <c r="X42" s="245"/>
      <c r="Y42" s="245"/>
      <c r="Z42" s="246"/>
      <c r="AA42" s="54"/>
      <c r="AB42" s="55"/>
      <c r="AC42" s="55"/>
      <c r="AD42" s="55"/>
      <c r="AE42" s="55"/>
      <c r="AF42" s="55"/>
      <c r="AG42" s="54"/>
      <c r="AH42" s="54"/>
      <c r="AI42" s="63"/>
      <c r="AJ42" s="10"/>
      <c r="AK42" s="10"/>
      <c r="AL42" s="54"/>
      <c r="AM42" s="54"/>
    </row>
    <row r="43" spans="1:39" ht="15" thickBot="1" x14ac:dyDescent="0.35">
      <c r="A43" s="55"/>
      <c r="B43" s="90"/>
      <c r="C43" s="292"/>
      <c r="D43" s="293"/>
      <c r="E43" s="294"/>
      <c r="F43" s="60"/>
      <c r="G43" s="54"/>
      <c r="H43" s="295"/>
      <c r="I43" s="296"/>
      <c r="J43" s="296"/>
      <c r="K43" s="296"/>
      <c r="L43" s="297"/>
      <c r="M43" s="298"/>
      <c r="N43" s="299"/>
      <c r="O43" s="300"/>
      <c r="P43" s="301"/>
      <c r="Q43" s="302"/>
      <c r="R43" s="303"/>
      <c r="S43" s="304"/>
      <c r="T43" s="304"/>
      <c r="U43" s="304"/>
      <c r="V43" s="304"/>
      <c r="W43" s="304"/>
      <c r="X43" s="304"/>
      <c r="Y43" s="304"/>
      <c r="Z43" s="305"/>
      <c r="AA43" s="54"/>
      <c r="AB43" s="55"/>
      <c r="AC43" s="55"/>
      <c r="AD43" s="55"/>
      <c r="AE43" s="55"/>
      <c r="AF43" s="55"/>
      <c r="AG43" s="54"/>
      <c r="AH43" s="54"/>
      <c r="AI43" s="63"/>
      <c r="AJ43" s="10"/>
      <c r="AK43" s="10"/>
      <c r="AL43" s="54"/>
      <c r="AM43" s="54"/>
    </row>
    <row r="44" spans="1:39" ht="15" customHeight="1" x14ac:dyDescent="0.3">
      <c r="A44" s="55"/>
      <c r="B44" s="15"/>
      <c r="C44" s="55"/>
      <c r="D44" s="55"/>
      <c r="E44" s="15"/>
      <c r="F44" s="55"/>
      <c r="G44" s="54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  <c r="V44" s="55"/>
      <c r="W44" s="55"/>
      <c r="X44" s="55"/>
      <c r="Y44" s="55"/>
      <c r="Z44" s="55"/>
      <c r="AA44" s="54"/>
      <c r="AB44" s="55"/>
      <c r="AC44" s="55"/>
      <c r="AD44" s="55"/>
      <c r="AE44" s="55"/>
      <c r="AF44" s="55"/>
      <c r="AG44" s="54"/>
      <c r="AH44" s="54"/>
      <c r="AI44" s="63"/>
      <c r="AJ44" s="10"/>
      <c r="AK44" s="10"/>
      <c r="AL44" s="54"/>
      <c r="AM44" s="54"/>
    </row>
    <row r="45" spans="1:39" ht="15" customHeight="1" x14ac:dyDescent="0.3">
      <c r="A45" s="54"/>
      <c r="B45" s="2"/>
      <c r="C45" s="54"/>
      <c r="D45" s="54"/>
      <c r="E45" s="2"/>
      <c r="F45" s="54"/>
      <c r="G45" s="54"/>
      <c r="H45" s="55"/>
      <c r="I45" s="55"/>
      <c r="J45" s="55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55"/>
      <c r="V45" s="55"/>
      <c r="W45" s="55"/>
      <c r="X45" s="55"/>
      <c r="Y45" s="55"/>
      <c r="Z45" s="55"/>
      <c r="AA45" s="54"/>
      <c r="AB45" s="55"/>
      <c r="AC45" s="55"/>
      <c r="AD45" s="55"/>
      <c r="AE45" s="55"/>
      <c r="AF45" s="55"/>
      <c r="AG45" s="54"/>
      <c r="AH45" s="54"/>
      <c r="AI45" s="63"/>
      <c r="AJ45" s="10"/>
      <c r="AK45" s="10"/>
      <c r="AL45" s="54"/>
      <c r="AM45" s="54"/>
    </row>
    <row r="46" spans="1:39" ht="15" customHeight="1" x14ac:dyDescent="0.3">
      <c r="A46" s="54"/>
      <c r="B46" s="2"/>
      <c r="C46" s="54"/>
      <c r="D46" s="54"/>
      <c r="E46" s="2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63"/>
      <c r="AJ46" s="10"/>
      <c r="AK46" s="10"/>
      <c r="AL46" s="54"/>
      <c r="AM46" s="54"/>
    </row>
    <row r="47" spans="1:39" ht="15" customHeight="1" x14ac:dyDescent="0.3">
      <c r="A47" s="54"/>
      <c r="B47" s="2"/>
      <c r="C47" s="54"/>
      <c r="D47" s="54"/>
      <c r="E47" s="2"/>
      <c r="F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63"/>
      <c r="AJ47" s="10"/>
      <c r="AK47" s="10"/>
      <c r="AL47" s="54"/>
      <c r="AM47" s="54"/>
    </row>
    <row r="48" spans="1:39" ht="15" customHeight="1" x14ac:dyDescent="0.3"/>
    <row r="49" ht="15" customHeight="1" x14ac:dyDescent="0.3"/>
    <row r="50" ht="15" customHeight="1" x14ac:dyDescent="0.3"/>
  </sheetData>
  <mergeCells count="203">
    <mergeCell ref="AA13:AC13"/>
    <mergeCell ref="Y13:Z13"/>
    <mergeCell ref="AD13:AF13"/>
    <mergeCell ref="AD14:AF21"/>
    <mergeCell ref="AA14:AC21"/>
    <mergeCell ref="Y14:Z21"/>
    <mergeCell ref="C42:E42"/>
    <mergeCell ref="H42:K42"/>
    <mergeCell ref="L42:N42"/>
    <mergeCell ref="O42:Q42"/>
    <mergeCell ref="R42:Z42"/>
    <mergeCell ref="C39:E39"/>
    <mergeCell ref="H39:K39"/>
    <mergeCell ref="L39:N39"/>
    <mergeCell ref="O39:Q39"/>
    <mergeCell ref="R39:Z39"/>
    <mergeCell ref="AC39:AD39"/>
    <mergeCell ref="C38:E38"/>
    <mergeCell ref="H38:K38"/>
    <mergeCell ref="L38:N38"/>
    <mergeCell ref="O38:Q38"/>
    <mergeCell ref="R38:Z38"/>
    <mergeCell ref="AC38:AD38"/>
    <mergeCell ref="C37:E37"/>
    <mergeCell ref="C43:E43"/>
    <mergeCell ref="H43:K43"/>
    <mergeCell ref="L43:N43"/>
    <mergeCell ref="O43:Q43"/>
    <mergeCell ref="R43:Z43"/>
    <mergeCell ref="C40:E40"/>
    <mergeCell ref="H40:K40"/>
    <mergeCell ref="L40:N40"/>
    <mergeCell ref="O40:Q40"/>
    <mergeCell ref="R40:Z40"/>
    <mergeCell ref="C41:E41"/>
    <mergeCell ref="H41:K41"/>
    <mergeCell ref="L41:N41"/>
    <mergeCell ref="O41:Q41"/>
    <mergeCell ref="R41:Z41"/>
    <mergeCell ref="H37:K37"/>
    <mergeCell ref="L37:N37"/>
    <mergeCell ref="O37:Q37"/>
    <mergeCell ref="R37:Z37"/>
    <mergeCell ref="AC37:AD37"/>
    <mergeCell ref="C36:E36"/>
    <mergeCell ref="H36:K36"/>
    <mergeCell ref="L36:N36"/>
    <mergeCell ref="O36:Q36"/>
    <mergeCell ref="R36:Z36"/>
    <mergeCell ref="AC36:AD36"/>
    <mergeCell ref="C35:E35"/>
    <mergeCell ref="H35:K35"/>
    <mergeCell ref="L35:N35"/>
    <mergeCell ref="O35:Q35"/>
    <mergeCell ref="R35:Z35"/>
    <mergeCell ref="AC35:AD35"/>
    <mergeCell ref="C34:E34"/>
    <mergeCell ref="H34:K34"/>
    <mergeCell ref="L34:N34"/>
    <mergeCell ref="O34:Q34"/>
    <mergeCell ref="R34:Z34"/>
    <mergeCell ref="AC34:AD34"/>
    <mergeCell ref="C33:E33"/>
    <mergeCell ref="H33:K33"/>
    <mergeCell ref="L33:N33"/>
    <mergeCell ref="O33:Q33"/>
    <mergeCell ref="R33:Z33"/>
    <mergeCell ref="AC33:AD33"/>
    <mergeCell ref="AD31:AF31"/>
    <mergeCell ref="C32:E32"/>
    <mergeCell ref="H32:K32"/>
    <mergeCell ref="L32:N32"/>
    <mergeCell ref="O32:Q32"/>
    <mergeCell ref="R32:Z32"/>
    <mergeCell ref="AC32:AD32"/>
    <mergeCell ref="C31:E31"/>
    <mergeCell ref="H31:K31"/>
    <mergeCell ref="L31:N31"/>
    <mergeCell ref="O31:Q31"/>
    <mergeCell ref="R31:Z31"/>
    <mergeCell ref="AB31:AC31"/>
    <mergeCell ref="C30:E30"/>
    <mergeCell ref="H30:K30"/>
    <mergeCell ref="L30:N30"/>
    <mergeCell ref="O30:Q30"/>
    <mergeCell ref="R30:Z30"/>
    <mergeCell ref="AD30:AF30"/>
    <mergeCell ref="C29:E29"/>
    <mergeCell ref="H29:K29"/>
    <mergeCell ref="L29:N29"/>
    <mergeCell ref="O29:Q29"/>
    <mergeCell ref="R29:Z29"/>
    <mergeCell ref="AD29:AF29"/>
    <mergeCell ref="C28:E28"/>
    <mergeCell ref="H28:K28"/>
    <mergeCell ref="L28:N28"/>
    <mergeCell ref="O28:Q28"/>
    <mergeCell ref="R28:Z28"/>
    <mergeCell ref="AD28:AF28"/>
    <mergeCell ref="C27:E27"/>
    <mergeCell ref="H27:K27"/>
    <mergeCell ref="L27:N27"/>
    <mergeCell ref="O27:Q27"/>
    <mergeCell ref="R27:Z27"/>
    <mergeCell ref="AD27:AF27"/>
    <mergeCell ref="C26:E26"/>
    <mergeCell ref="H26:K26"/>
    <mergeCell ref="L26:N26"/>
    <mergeCell ref="O26:Q26"/>
    <mergeCell ref="R26:Z26"/>
    <mergeCell ref="AD26:AF26"/>
    <mergeCell ref="C25:E25"/>
    <mergeCell ref="H25:K25"/>
    <mergeCell ref="L25:N25"/>
    <mergeCell ref="O25:Q25"/>
    <mergeCell ref="R25:Z25"/>
    <mergeCell ref="AD25:AF25"/>
    <mergeCell ref="AD23:AF23"/>
    <mergeCell ref="C24:E24"/>
    <mergeCell ref="H24:K24"/>
    <mergeCell ref="L24:N24"/>
    <mergeCell ref="O24:Q24"/>
    <mergeCell ref="R24:Z24"/>
    <mergeCell ref="AD24:AF24"/>
    <mergeCell ref="B20:H21"/>
    <mergeCell ref="L21:R21"/>
    <mergeCell ref="S21:W21"/>
    <mergeCell ref="C23:E23"/>
    <mergeCell ref="H23:K23"/>
    <mergeCell ref="L23:N23"/>
    <mergeCell ref="O23:Q23"/>
    <mergeCell ref="R23:Z23"/>
    <mergeCell ref="J19:J20"/>
    <mergeCell ref="K19:K20"/>
    <mergeCell ref="L19:R20"/>
    <mergeCell ref="S19:W20"/>
    <mergeCell ref="E16:E18"/>
    <mergeCell ref="F16:H18"/>
    <mergeCell ref="L16:R16"/>
    <mergeCell ref="S16:W16"/>
    <mergeCell ref="L17:R17"/>
    <mergeCell ref="S17:W17"/>
    <mergeCell ref="L18:R18"/>
    <mergeCell ref="S18:W18"/>
    <mergeCell ref="T13:U13"/>
    <mergeCell ref="V13:W13"/>
    <mergeCell ref="F15:H15"/>
    <mergeCell ref="J15:R15"/>
    <mergeCell ref="S15:W15"/>
    <mergeCell ref="G13:I13"/>
    <mergeCell ref="J13:K13"/>
    <mergeCell ref="L13:M13"/>
    <mergeCell ref="N13:O13"/>
    <mergeCell ref="P13:Q13"/>
    <mergeCell ref="R13:S13"/>
    <mergeCell ref="P10:Q10"/>
    <mergeCell ref="R10:S10"/>
    <mergeCell ref="T10:U10"/>
    <mergeCell ref="V10:W10"/>
    <mergeCell ref="G11:I11"/>
    <mergeCell ref="J11:K11"/>
    <mergeCell ref="L11:M11"/>
    <mergeCell ref="N11:O11"/>
    <mergeCell ref="P11:Q11"/>
    <mergeCell ref="R11:S11"/>
    <mergeCell ref="T11:U11"/>
    <mergeCell ref="V11:W11"/>
    <mergeCell ref="E7:E8"/>
    <mergeCell ref="F7:F8"/>
    <mergeCell ref="G7:I8"/>
    <mergeCell ref="J7:Q7"/>
    <mergeCell ref="R7:W7"/>
    <mergeCell ref="J8:K8"/>
    <mergeCell ref="L8:M8"/>
    <mergeCell ref="N8:O8"/>
    <mergeCell ref="P8:Q8"/>
    <mergeCell ref="R8:S8"/>
    <mergeCell ref="T8:U8"/>
    <mergeCell ref="V8:W8"/>
    <mergeCell ref="H2:H3"/>
    <mergeCell ref="J2:Q2"/>
    <mergeCell ref="R2:W2"/>
    <mergeCell ref="Y2:AF11"/>
    <mergeCell ref="J3:K3"/>
    <mergeCell ref="L3:M3"/>
    <mergeCell ref="N3:O3"/>
    <mergeCell ref="P3:Q3"/>
    <mergeCell ref="R3:S3"/>
    <mergeCell ref="T3:U3"/>
    <mergeCell ref="V3:W3"/>
    <mergeCell ref="H4:H5"/>
    <mergeCell ref="G9:I9"/>
    <mergeCell ref="J9:K9"/>
    <mergeCell ref="L9:M9"/>
    <mergeCell ref="N9:O9"/>
    <mergeCell ref="P9:Q9"/>
    <mergeCell ref="R9:S9"/>
    <mergeCell ref="T9:U9"/>
    <mergeCell ref="V9:W9"/>
    <mergeCell ref="G10:I10"/>
    <mergeCell ref="J10:K10"/>
    <mergeCell ref="L10:M10"/>
    <mergeCell ref="N10:O10"/>
  </mergeCells>
  <conditionalFormatting sqref="F3:F5">
    <cfRule type="cellIs" dxfId="92" priority="11" operator="greaterThan">
      <formula>0.895</formula>
    </cfRule>
    <cfRule type="cellIs" dxfId="91" priority="12" operator="greaterThan">
      <formula>0.845</formula>
    </cfRule>
    <cfRule type="cellIs" dxfId="90" priority="13" operator="lessThan">
      <formula>0.85</formula>
    </cfRule>
  </conditionalFormatting>
  <conditionalFormatting sqref="H4:H5">
    <cfRule type="cellIs" dxfId="89" priority="9" operator="equal">
      <formula>"↓"</formula>
    </cfRule>
    <cfRule type="cellIs" dxfId="88" priority="10" operator="equal">
      <formula>"↑"</formula>
    </cfRule>
  </conditionalFormatting>
  <conditionalFormatting sqref="S16:W21">
    <cfRule type="expression" dxfId="87" priority="8">
      <formula>AND(ISNUMBER(S16),S16&lt;TODAY())</formula>
    </cfRule>
  </conditionalFormatting>
  <conditionalFormatting sqref="G10:W10">
    <cfRule type="cellIs" dxfId="86" priority="7" operator="greaterThan">
      <formula>G9</formula>
    </cfRule>
  </conditionalFormatting>
  <conditionalFormatting sqref="G11:W11">
    <cfRule type="cellIs" dxfId="85" priority="6" operator="greaterThan">
      <formula>0</formula>
    </cfRule>
  </conditionalFormatting>
  <conditionalFormatting sqref="O24:O43">
    <cfRule type="expression" dxfId="84" priority="4">
      <formula>OR(NOT(ISERROR(SEARCH("COMPLETE",O24))),NOT(ISERROR(SEARCH("RELEASED",O24))))</formula>
    </cfRule>
  </conditionalFormatting>
  <conditionalFormatting sqref="O24:Q43">
    <cfRule type="expression" dxfId="83" priority="3">
      <formula>NOT(ISERROR(SEARCH("ECO",O24)))</formula>
    </cfRule>
  </conditionalFormatting>
  <conditionalFormatting sqref="F24:F43">
    <cfRule type="expression" dxfId="82" priority="2">
      <formula>AND($F24&gt;0,DATEVALUE(RIGHT($F24,2)&amp;"-"&amp;MID($F24,6,3)&amp;"-"&amp;LEFT($F24+$A$28,4))&lt;TODAY()+7)</formula>
    </cfRule>
    <cfRule type="expression" dxfId="81" priority="1">
      <formula>AND($F24&gt;0,DATEVALUE(RIGHT($F24,2)&amp;"-"&amp;MID($F24,6,3)&amp;"-"&amp;LEFT($F24,4))&lt;TODAY())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UpdateCurrent">
                <anchor moveWithCells="1">
                  <from>
                    <xdr:col>37</xdr:col>
                    <xdr:colOff>297180</xdr:colOff>
                    <xdr:row>0</xdr:row>
                    <xdr:rowOff>0</xdr:rowOff>
                  </from>
                  <to>
                    <xdr:col>38</xdr:col>
                    <xdr:colOff>601980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2CBB3-E39E-4A35-B7EF-0CA66A5BB647}">
  <sheetPr codeName="Sheet3"/>
  <dimension ref="A1:AM50"/>
  <sheetViews>
    <sheetView showGridLines="0" zoomScaleNormal="100" workbookViewId="0">
      <selection activeCell="AH28" sqref="AH28"/>
    </sheetView>
  </sheetViews>
  <sheetFormatPr defaultRowHeight="14.4" x14ac:dyDescent="0.3"/>
  <cols>
    <col min="1" max="1" width="0.44140625" customWidth="1"/>
    <col min="2" max="2" width="15.88671875" customWidth="1"/>
    <col min="3" max="3" width="15.33203125" customWidth="1"/>
    <col min="4" max="4" width="0.6640625" customWidth="1"/>
    <col min="5" max="5" width="12.88671875" customWidth="1"/>
    <col min="6" max="6" width="16" customWidth="1"/>
    <col min="7" max="7" width="0.5546875" customWidth="1"/>
    <col min="8" max="8" width="12.88671875" customWidth="1"/>
    <col min="9" max="9" width="0.5546875" customWidth="1"/>
    <col min="10" max="23" width="6.5546875" customWidth="1"/>
    <col min="24" max="24" width="0.6640625" customWidth="1"/>
    <col min="25" max="25" width="13.6640625" customWidth="1"/>
    <col min="26" max="26" width="9.44140625" customWidth="1"/>
    <col min="27" max="27" width="0.5546875" customWidth="1"/>
    <col min="28" max="28" width="12.5546875" customWidth="1"/>
    <col min="29" max="30" width="11.44140625" customWidth="1"/>
    <col min="31" max="31" width="0.88671875" customWidth="1"/>
    <col min="32" max="32" width="12.88671875" customWidth="1"/>
    <col min="34" max="34" width="15.6640625" bestFit="1" customWidth="1"/>
    <col min="35" max="35" width="12.5546875" style="64" customWidth="1"/>
    <col min="36" max="37" width="9.109375" style="65"/>
  </cols>
  <sheetData>
    <row r="1" spans="1:39" ht="2.25" customHeight="1" thickBot="1" x14ac:dyDescent="0.35">
      <c r="A1" s="31" t="s">
        <v>130</v>
      </c>
      <c r="B1" s="15"/>
      <c r="C1" s="114"/>
      <c r="D1" s="54"/>
      <c r="E1" s="2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63"/>
      <c r="AJ1" s="10"/>
      <c r="AK1" s="10"/>
      <c r="AL1" s="54"/>
      <c r="AM1" s="54"/>
    </row>
    <row r="2" spans="1:39" ht="15.75" customHeight="1" thickBot="1" x14ac:dyDescent="0.35">
      <c r="A2" s="114"/>
      <c r="B2" s="115" t="s">
        <v>1</v>
      </c>
      <c r="C2" s="123"/>
      <c r="D2" s="54"/>
      <c r="E2" s="110" t="s">
        <v>92</v>
      </c>
      <c r="F2" s="162"/>
      <c r="G2" s="1"/>
      <c r="H2" s="163" t="s">
        <v>8</v>
      </c>
      <c r="I2" s="1"/>
      <c r="J2" s="164" t="s">
        <v>9</v>
      </c>
      <c r="K2" s="164"/>
      <c r="L2" s="164"/>
      <c r="M2" s="164"/>
      <c r="N2" s="164"/>
      <c r="O2" s="164"/>
      <c r="P2" s="164"/>
      <c r="Q2" s="164"/>
      <c r="R2" s="165" t="s">
        <v>10</v>
      </c>
      <c r="S2" s="165"/>
      <c r="T2" s="165"/>
      <c r="U2" s="165"/>
      <c r="V2" s="165"/>
      <c r="W2" s="166"/>
      <c r="X2" s="54"/>
      <c r="Y2" s="419"/>
      <c r="Z2" s="419"/>
      <c r="AA2" s="419"/>
      <c r="AB2" s="419"/>
      <c r="AC2" s="419"/>
      <c r="AD2" s="419"/>
      <c r="AE2" s="419"/>
      <c r="AF2" s="420"/>
      <c r="AG2" s="54"/>
      <c r="AH2" s="121" t="s">
        <v>89</v>
      </c>
      <c r="AI2" s="63"/>
      <c r="AJ2" s="10"/>
      <c r="AK2" s="10"/>
      <c r="AL2" s="54"/>
      <c r="AM2" s="54"/>
    </row>
    <row r="3" spans="1:39" ht="15" customHeight="1" thickBot="1" x14ac:dyDescent="0.35">
      <c r="A3" s="114"/>
      <c r="B3" s="33" t="s">
        <v>11</v>
      </c>
      <c r="C3" s="124"/>
      <c r="D3" s="54"/>
      <c r="E3" s="33" t="s">
        <v>93</v>
      </c>
      <c r="F3" s="134"/>
      <c r="G3" s="1"/>
      <c r="H3" s="163"/>
      <c r="I3" s="1"/>
      <c r="J3" s="171" t="s">
        <v>12</v>
      </c>
      <c r="K3" s="171"/>
      <c r="L3" s="171" t="s">
        <v>13</v>
      </c>
      <c r="M3" s="171"/>
      <c r="N3" s="171" t="s">
        <v>14</v>
      </c>
      <c r="O3" s="172"/>
      <c r="P3" s="171" t="s">
        <v>6</v>
      </c>
      <c r="Q3" s="171"/>
      <c r="R3" s="171" t="s">
        <v>12</v>
      </c>
      <c r="S3" s="171"/>
      <c r="T3" s="171" t="s">
        <v>13</v>
      </c>
      <c r="U3" s="172"/>
      <c r="V3" s="171" t="s">
        <v>6</v>
      </c>
      <c r="W3" s="173"/>
      <c r="X3" s="54"/>
      <c r="Y3" s="419"/>
      <c r="Z3" s="419"/>
      <c r="AA3" s="419"/>
      <c r="AB3" s="419"/>
      <c r="AC3" s="419"/>
      <c r="AD3" s="419"/>
      <c r="AE3" s="419"/>
      <c r="AF3" s="420"/>
      <c r="AG3" s="54"/>
      <c r="AH3" s="122" t="s">
        <v>18</v>
      </c>
      <c r="AI3" s="63"/>
      <c r="AJ3" s="10"/>
      <c r="AK3" s="10"/>
      <c r="AL3" s="54"/>
      <c r="AM3" s="54"/>
    </row>
    <row r="4" spans="1:39" ht="15" customHeight="1" thickBot="1" x14ac:dyDescent="0.35">
      <c r="A4" s="114"/>
      <c r="B4" s="34" t="s">
        <v>15</v>
      </c>
      <c r="C4" s="125"/>
      <c r="D4" s="54"/>
      <c r="E4" s="33" t="s">
        <v>116</v>
      </c>
      <c r="F4" s="135"/>
      <c r="G4" s="1"/>
      <c r="H4" s="436"/>
      <c r="I4" s="1"/>
      <c r="J4" s="3" t="s">
        <v>16</v>
      </c>
      <c r="K4" s="4" t="s">
        <v>17</v>
      </c>
      <c r="L4" s="3" t="s">
        <v>16</v>
      </c>
      <c r="M4" s="5" t="s">
        <v>17</v>
      </c>
      <c r="N4" s="3" t="s">
        <v>16</v>
      </c>
      <c r="O4" s="4" t="s">
        <v>17</v>
      </c>
      <c r="P4" s="3" t="s">
        <v>16</v>
      </c>
      <c r="Q4" s="5" t="s">
        <v>17</v>
      </c>
      <c r="R4" s="6" t="s">
        <v>16</v>
      </c>
      <c r="S4" s="4" t="s">
        <v>17</v>
      </c>
      <c r="T4" s="7" t="s">
        <v>16</v>
      </c>
      <c r="U4" s="5" t="s">
        <v>17</v>
      </c>
      <c r="V4" s="6" t="s">
        <v>16</v>
      </c>
      <c r="W4" s="4" t="s">
        <v>17</v>
      </c>
      <c r="X4" s="54"/>
      <c r="Y4" s="419"/>
      <c r="Z4" s="419"/>
      <c r="AA4" s="419"/>
      <c r="AB4" s="419"/>
      <c r="AC4" s="419"/>
      <c r="AD4" s="419"/>
      <c r="AE4" s="419"/>
      <c r="AF4" s="420"/>
      <c r="AG4" s="54"/>
      <c r="AH4" s="20" t="s">
        <v>20</v>
      </c>
      <c r="AI4" s="63"/>
      <c r="AJ4" s="10"/>
      <c r="AK4" s="10"/>
      <c r="AL4" s="54"/>
      <c r="AM4" s="54"/>
    </row>
    <row r="5" spans="1:39" ht="15.75" customHeight="1" thickBot="1" x14ac:dyDescent="0.35">
      <c r="A5" s="114"/>
      <c r="B5" s="35" t="s">
        <v>19</v>
      </c>
      <c r="C5" s="126"/>
      <c r="D5" s="54"/>
      <c r="E5" s="35" t="s">
        <v>91</v>
      </c>
      <c r="F5" s="136"/>
      <c r="G5" s="1"/>
      <c r="H5" s="437"/>
      <c r="I5" s="1"/>
      <c r="J5" s="143"/>
      <c r="K5" s="137"/>
      <c r="L5" s="144"/>
      <c r="M5" s="138"/>
      <c r="N5" s="144"/>
      <c r="O5" s="139"/>
      <c r="P5" s="143"/>
      <c r="Q5" s="140"/>
      <c r="R5" s="145"/>
      <c r="S5" s="141"/>
      <c r="T5" s="146"/>
      <c r="U5" s="142"/>
      <c r="V5" s="145"/>
      <c r="W5" s="141"/>
      <c r="X5" s="54"/>
      <c r="Y5" s="419"/>
      <c r="Z5" s="419"/>
      <c r="AA5" s="419"/>
      <c r="AB5" s="419"/>
      <c r="AC5" s="419"/>
      <c r="AD5" s="419"/>
      <c r="AE5" s="419"/>
      <c r="AF5" s="420"/>
      <c r="AG5" s="54"/>
      <c r="AH5" s="323" t="s">
        <v>21</v>
      </c>
      <c r="AI5" s="63"/>
      <c r="AJ5" s="10"/>
      <c r="AK5" s="10"/>
      <c r="AL5" s="54"/>
      <c r="AM5" s="54"/>
    </row>
    <row r="6" spans="1:39" ht="3.75" customHeight="1" thickBot="1" x14ac:dyDescent="0.35">
      <c r="A6" s="114"/>
      <c r="B6" s="15"/>
      <c r="C6" s="76"/>
      <c r="D6" s="8"/>
      <c r="E6" s="2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419"/>
      <c r="Z6" s="419"/>
      <c r="AA6" s="419"/>
      <c r="AB6" s="419"/>
      <c r="AC6" s="419"/>
      <c r="AD6" s="419"/>
      <c r="AE6" s="419"/>
      <c r="AF6" s="420"/>
      <c r="AG6" s="54"/>
      <c r="AH6" s="323"/>
      <c r="AI6" s="63"/>
      <c r="AJ6" s="10"/>
      <c r="AK6" s="10"/>
      <c r="AL6" s="54"/>
      <c r="AM6" s="54"/>
    </row>
    <row r="7" spans="1:39" ht="15.75" customHeight="1" thickBot="1" x14ac:dyDescent="0.35">
      <c r="A7" s="114"/>
      <c r="B7" s="113" t="s">
        <v>22</v>
      </c>
      <c r="C7" s="127"/>
      <c r="D7" s="9"/>
      <c r="E7" s="186" t="s">
        <v>23</v>
      </c>
      <c r="F7" s="187" t="s">
        <v>24</v>
      </c>
      <c r="G7" s="188" t="s">
        <v>0</v>
      </c>
      <c r="H7" s="188"/>
      <c r="I7" s="188"/>
      <c r="J7" s="189" t="s">
        <v>9</v>
      </c>
      <c r="K7" s="189"/>
      <c r="L7" s="189"/>
      <c r="M7" s="189"/>
      <c r="N7" s="189"/>
      <c r="O7" s="189"/>
      <c r="P7" s="189"/>
      <c r="Q7" s="189"/>
      <c r="R7" s="165" t="s">
        <v>10</v>
      </c>
      <c r="S7" s="190"/>
      <c r="T7" s="190"/>
      <c r="U7" s="190"/>
      <c r="V7" s="190"/>
      <c r="W7" s="191"/>
      <c r="X7" s="54"/>
      <c r="Y7" s="419"/>
      <c r="Z7" s="419"/>
      <c r="AA7" s="419"/>
      <c r="AB7" s="419"/>
      <c r="AC7" s="419"/>
      <c r="AD7" s="419"/>
      <c r="AE7" s="419"/>
      <c r="AF7" s="420"/>
      <c r="AG7" s="54"/>
      <c r="AH7" s="119" t="s">
        <v>27</v>
      </c>
      <c r="AI7" s="63"/>
      <c r="AJ7" s="10"/>
      <c r="AK7" s="10"/>
      <c r="AL7" s="54"/>
      <c r="AM7" s="54"/>
    </row>
    <row r="8" spans="1:39" ht="15.75" customHeight="1" thickBot="1" x14ac:dyDescent="0.35">
      <c r="A8" s="114"/>
      <c r="B8" s="36" t="s">
        <v>25</v>
      </c>
      <c r="C8" s="128"/>
      <c r="D8" s="9"/>
      <c r="E8" s="186"/>
      <c r="F8" s="187"/>
      <c r="G8" s="188"/>
      <c r="H8" s="188"/>
      <c r="I8" s="188"/>
      <c r="J8" s="192" t="s">
        <v>12</v>
      </c>
      <c r="K8" s="192"/>
      <c r="L8" s="192" t="s">
        <v>13</v>
      </c>
      <c r="M8" s="171"/>
      <c r="N8" s="192" t="s">
        <v>14</v>
      </c>
      <c r="O8" s="172"/>
      <c r="P8" s="192" t="s">
        <v>6</v>
      </c>
      <c r="Q8" s="171"/>
      <c r="R8" s="192" t="s">
        <v>12</v>
      </c>
      <c r="S8" s="173"/>
      <c r="T8" s="192" t="s">
        <v>13</v>
      </c>
      <c r="U8" s="173"/>
      <c r="V8" s="192" t="s">
        <v>6</v>
      </c>
      <c r="W8" s="172"/>
      <c r="X8" s="54"/>
      <c r="Y8" s="419"/>
      <c r="Z8" s="419"/>
      <c r="AA8" s="419"/>
      <c r="AB8" s="419"/>
      <c r="AC8" s="419"/>
      <c r="AD8" s="419"/>
      <c r="AE8" s="419"/>
      <c r="AF8" s="420"/>
      <c r="AG8" s="54"/>
      <c r="AH8" s="120" t="s">
        <v>31</v>
      </c>
      <c r="AI8" s="63"/>
      <c r="AJ8" s="10"/>
      <c r="AK8" s="10"/>
      <c r="AL8" s="54"/>
      <c r="AM8" s="54"/>
    </row>
    <row r="9" spans="1:39" ht="15.75" customHeight="1" thickBot="1" x14ac:dyDescent="0.35">
      <c r="A9" s="114"/>
      <c r="B9" s="36" t="s">
        <v>28</v>
      </c>
      <c r="C9" s="128"/>
      <c r="D9" s="9"/>
      <c r="E9" s="51" t="s">
        <v>29</v>
      </c>
      <c r="F9" s="133"/>
      <c r="G9" s="423"/>
      <c r="H9" s="423"/>
      <c r="I9" s="423"/>
      <c r="J9" s="424"/>
      <c r="K9" s="424"/>
      <c r="L9" s="424"/>
      <c r="M9" s="425"/>
      <c r="N9" s="424"/>
      <c r="O9" s="426"/>
      <c r="P9" s="424"/>
      <c r="Q9" s="425"/>
      <c r="R9" s="424"/>
      <c r="S9" s="426"/>
      <c r="T9" s="424"/>
      <c r="U9" s="427"/>
      <c r="V9" s="424"/>
      <c r="W9" s="426"/>
      <c r="X9" s="54"/>
      <c r="Y9" s="419"/>
      <c r="Z9" s="419"/>
      <c r="AA9" s="419"/>
      <c r="AB9" s="419"/>
      <c r="AC9" s="419"/>
      <c r="AD9" s="419"/>
      <c r="AE9" s="419"/>
      <c r="AF9" s="420"/>
      <c r="AG9" s="54"/>
      <c r="AH9" s="118" t="s">
        <v>335</v>
      </c>
      <c r="AI9" s="63"/>
      <c r="AJ9" s="10"/>
      <c r="AK9" s="10"/>
      <c r="AL9" s="54"/>
      <c r="AM9" s="54"/>
    </row>
    <row r="10" spans="1:39" ht="15.75" customHeight="1" thickBot="1" x14ac:dyDescent="0.35">
      <c r="A10" s="114"/>
      <c r="B10" s="36" t="s">
        <v>7</v>
      </c>
      <c r="C10" s="128"/>
      <c r="D10" s="9"/>
      <c r="E10" s="51" t="s">
        <v>86</v>
      </c>
      <c r="F10" s="153"/>
      <c r="G10" s="428"/>
      <c r="H10" s="428"/>
      <c r="I10" s="428"/>
      <c r="J10" s="429"/>
      <c r="K10" s="429"/>
      <c r="L10" s="430"/>
      <c r="M10" s="431"/>
      <c r="N10" s="430"/>
      <c r="O10" s="432"/>
      <c r="P10" s="429"/>
      <c r="Q10" s="433"/>
      <c r="R10" s="429"/>
      <c r="S10" s="434"/>
      <c r="T10" s="429"/>
      <c r="U10" s="435"/>
      <c r="V10" s="429"/>
      <c r="W10" s="434"/>
      <c r="X10" s="54"/>
      <c r="Y10" s="419"/>
      <c r="Z10" s="419"/>
      <c r="AA10" s="419"/>
      <c r="AB10" s="419"/>
      <c r="AC10" s="419"/>
      <c r="AD10" s="419"/>
      <c r="AE10" s="419"/>
      <c r="AF10" s="420"/>
      <c r="AG10" s="54"/>
      <c r="AH10" s="54"/>
      <c r="AI10" s="63"/>
      <c r="AJ10" s="10"/>
      <c r="AK10" s="10"/>
      <c r="AL10" s="54"/>
      <c r="AM10" s="54"/>
    </row>
    <row r="11" spans="1:39" ht="15.75" customHeight="1" thickBot="1" x14ac:dyDescent="0.35">
      <c r="A11" s="114"/>
      <c r="B11" s="37" t="s">
        <v>32</v>
      </c>
      <c r="C11" s="129"/>
      <c r="D11" s="9"/>
      <c r="E11" s="52" t="s">
        <v>84</v>
      </c>
      <c r="F11" s="154"/>
      <c r="G11" s="414"/>
      <c r="H11" s="414"/>
      <c r="I11" s="414"/>
      <c r="J11" s="415"/>
      <c r="K11" s="415"/>
      <c r="L11" s="416"/>
      <c r="M11" s="417"/>
      <c r="N11" s="405"/>
      <c r="O11" s="407"/>
      <c r="P11" s="415"/>
      <c r="Q11" s="418"/>
      <c r="R11" s="405"/>
      <c r="S11" s="407"/>
      <c r="T11" s="405"/>
      <c r="U11" s="406"/>
      <c r="V11" s="405"/>
      <c r="W11" s="407"/>
      <c r="X11" s="54"/>
      <c r="Y11" s="421"/>
      <c r="Z11" s="421"/>
      <c r="AA11" s="421"/>
      <c r="AB11" s="421"/>
      <c r="AC11" s="421"/>
      <c r="AD11" s="421"/>
      <c r="AE11" s="421"/>
      <c r="AF11" s="422"/>
      <c r="AG11" s="54"/>
      <c r="AH11" s="54"/>
      <c r="AI11" s="63"/>
      <c r="AJ11" s="10"/>
      <c r="AK11" s="10"/>
      <c r="AL11" s="54"/>
      <c r="AM11" s="54"/>
    </row>
    <row r="12" spans="1:39" ht="3" customHeight="1" thickBot="1" x14ac:dyDescent="0.35">
      <c r="A12" s="114"/>
      <c r="B12" s="15"/>
      <c r="C12" s="80"/>
      <c r="D12" s="54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63"/>
      <c r="AJ12" s="10"/>
      <c r="AK12" s="10"/>
      <c r="AL12" s="54"/>
      <c r="AM12" s="54"/>
    </row>
    <row r="13" spans="1:39" ht="15.75" customHeight="1" thickBot="1" x14ac:dyDescent="0.35">
      <c r="A13" s="114"/>
      <c r="B13" s="113" t="s">
        <v>33</v>
      </c>
      <c r="C13" s="130"/>
      <c r="D13" s="54"/>
      <c r="E13" s="117" t="s">
        <v>35</v>
      </c>
      <c r="F13" s="155"/>
      <c r="G13" s="408"/>
      <c r="H13" s="408"/>
      <c r="I13" s="408"/>
      <c r="J13" s="409"/>
      <c r="K13" s="409"/>
      <c r="L13" s="410"/>
      <c r="M13" s="410"/>
      <c r="N13" s="409"/>
      <c r="O13" s="411"/>
      <c r="P13" s="409"/>
      <c r="Q13" s="410"/>
      <c r="R13" s="409"/>
      <c r="S13" s="411"/>
      <c r="T13" s="412"/>
      <c r="U13" s="413"/>
      <c r="V13" s="409"/>
      <c r="W13" s="411"/>
      <c r="X13" s="54"/>
      <c r="Y13" s="309" t="s">
        <v>117</v>
      </c>
      <c r="Z13" s="308"/>
      <c r="AA13" s="306" t="s">
        <v>118</v>
      </c>
      <c r="AB13" s="307"/>
      <c r="AC13" s="308"/>
      <c r="AD13" s="307" t="s">
        <v>119</v>
      </c>
      <c r="AE13" s="307"/>
      <c r="AF13" s="310"/>
      <c r="AG13" s="54"/>
      <c r="AH13" s="54"/>
      <c r="AI13" s="63"/>
      <c r="AJ13" s="10"/>
      <c r="AK13" s="10"/>
      <c r="AL13" s="54"/>
      <c r="AM13" s="54"/>
    </row>
    <row r="14" spans="1:39" ht="15.75" customHeight="1" thickBot="1" x14ac:dyDescent="0.35">
      <c r="A14" s="114"/>
      <c r="B14" s="36" t="s">
        <v>37</v>
      </c>
      <c r="C14" s="131"/>
      <c r="D14" s="54"/>
      <c r="E14" s="2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393" t="s">
        <v>129</v>
      </c>
      <c r="Z14" s="394"/>
      <c r="AA14" s="397"/>
      <c r="AB14" s="398"/>
      <c r="AC14" s="394"/>
      <c r="AD14" s="401"/>
      <c r="AE14" s="401"/>
      <c r="AF14" s="402"/>
      <c r="AG14" s="54"/>
      <c r="AH14" s="54"/>
      <c r="AI14" s="63"/>
      <c r="AJ14" s="10"/>
      <c r="AK14" s="10"/>
      <c r="AL14" s="54"/>
      <c r="AM14" s="54"/>
    </row>
    <row r="15" spans="1:39" ht="15" customHeight="1" x14ac:dyDescent="0.3">
      <c r="A15" s="114"/>
      <c r="B15" s="36" t="s">
        <v>38</v>
      </c>
      <c r="C15" s="131"/>
      <c r="D15" s="10"/>
      <c r="E15" s="115" t="s">
        <v>39</v>
      </c>
      <c r="F15" s="225" t="s">
        <v>40</v>
      </c>
      <c r="G15" s="226"/>
      <c r="H15" s="227"/>
      <c r="I15" s="54"/>
      <c r="J15" s="228" t="s">
        <v>41</v>
      </c>
      <c r="K15" s="229"/>
      <c r="L15" s="229"/>
      <c r="M15" s="229"/>
      <c r="N15" s="229"/>
      <c r="O15" s="229"/>
      <c r="P15" s="229"/>
      <c r="Q15" s="229"/>
      <c r="R15" s="229"/>
      <c r="S15" s="230" t="s">
        <v>42</v>
      </c>
      <c r="T15" s="230"/>
      <c r="U15" s="230"/>
      <c r="V15" s="230"/>
      <c r="W15" s="231"/>
      <c r="X15" s="54"/>
      <c r="Y15" s="393"/>
      <c r="Z15" s="394"/>
      <c r="AA15" s="397"/>
      <c r="AB15" s="398"/>
      <c r="AC15" s="394"/>
      <c r="AD15" s="401"/>
      <c r="AE15" s="401"/>
      <c r="AF15" s="402"/>
      <c r="AG15" s="63"/>
      <c r="AH15" s="54"/>
      <c r="AI15" s="63"/>
      <c r="AJ15" s="10"/>
      <c r="AK15" s="10"/>
      <c r="AL15" s="54"/>
      <c r="AM15" s="54"/>
    </row>
    <row r="16" spans="1:39" ht="15" customHeight="1" x14ac:dyDescent="0.3">
      <c r="A16" s="114"/>
      <c r="B16" s="36" t="s">
        <v>43</v>
      </c>
      <c r="C16" s="131"/>
      <c r="D16" s="10"/>
      <c r="E16" s="376"/>
      <c r="F16" s="379"/>
      <c r="G16" s="380"/>
      <c r="H16" s="381"/>
      <c r="I16" s="54"/>
      <c r="J16" s="18">
        <v>1</v>
      </c>
      <c r="K16" s="151"/>
      <c r="L16" s="388"/>
      <c r="M16" s="388"/>
      <c r="N16" s="388"/>
      <c r="O16" s="388"/>
      <c r="P16" s="388"/>
      <c r="Q16" s="388"/>
      <c r="R16" s="388"/>
      <c r="S16" s="389"/>
      <c r="T16" s="389"/>
      <c r="U16" s="389"/>
      <c r="V16" s="389"/>
      <c r="W16" s="390"/>
      <c r="X16" s="54"/>
      <c r="Y16" s="393"/>
      <c r="Z16" s="394"/>
      <c r="AA16" s="397"/>
      <c r="AB16" s="398"/>
      <c r="AC16" s="394"/>
      <c r="AD16" s="401"/>
      <c r="AE16" s="401"/>
      <c r="AF16" s="402"/>
      <c r="AG16" s="54"/>
      <c r="AH16" s="54"/>
      <c r="AI16" s="63"/>
      <c r="AJ16" s="10"/>
      <c r="AK16" s="10"/>
      <c r="AL16" s="54"/>
      <c r="AM16" s="54"/>
    </row>
    <row r="17" spans="1:39" ht="15" customHeight="1" x14ac:dyDescent="0.3">
      <c r="A17" s="114"/>
      <c r="B17" s="36" t="s">
        <v>45</v>
      </c>
      <c r="C17" s="131"/>
      <c r="D17" s="10"/>
      <c r="E17" s="377"/>
      <c r="F17" s="382"/>
      <c r="G17" s="383"/>
      <c r="H17" s="384"/>
      <c r="I17" s="54"/>
      <c r="J17" s="18">
        <v>2</v>
      </c>
      <c r="K17" s="151"/>
      <c r="L17" s="388"/>
      <c r="M17" s="388"/>
      <c r="N17" s="388"/>
      <c r="O17" s="388"/>
      <c r="P17" s="388"/>
      <c r="Q17" s="388"/>
      <c r="R17" s="388"/>
      <c r="S17" s="391"/>
      <c r="T17" s="391"/>
      <c r="U17" s="391"/>
      <c r="V17" s="391"/>
      <c r="W17" s="392"/>
      <c r="X17" s="54"/>
      <c r="Y17" s="393"/>
      <c r="Z17" s="394"/>
      <c r="AA17" s="397"/>
      <c r="AB17" s="398"/>
      <c r="AC17" s="394"/>
      <c r="AD17" s="401"/>
      <c r="AE17" s="401"/>
      <c r="AF17" s="402"/>
      <c r="AG17" s="54"/>
      <c r="AH17" s="54"/>
      <c r="AI17" s="63"/>
      <c r="AJ17" s="10"/>
      <c r="AK17" s="10"/>
      <c r="AL17" s="54"/>
      <c r="AM17" s="54"/>
    </row>
    <row r="18" spans="1:39" ht="15.75" customHeight="1" thickBot="1" x14ac:dyDescent="0.35">
      <c r="A18" s="114"/>
      <c r="B18" s="37" t="s">
        <v>47</v>
      </c>
      <c r="C18" s="132"/>
      <c r="D18" s="10"/>
      <c r="E18" s="378"/>
      <c r="F18" s="385"/>
      <c r="G18" s="386"/>
      <c r="H18" s="387"/>
      <c r="I18" s="54"/>
      <c r="J18" s="18">
        <v>3</v>
      </c>
      <c r="K18" s="151"/>
      <c r="L18" s="388"/>
      <c r="M18" s="388"/>
      <c r="N18" s="388"/>
      <c r="O18" s="388"/>
      <c r="P18" s="388"/>
      <c r="Q18" s="388"/>
      <c r="R18" s="388"/>
      <c r="S18" s="391"/>
      <c r="T18" s="391"/>
      <c r="U18" s="391"/>
      <c r="V18" s="391"/>
      <c r="W18" s="392"/>
      <c r="X18" s="54"/>
      <c r="Y18" s="393"/>
      <c r="Z18" s="394"/>
      <c r="AA18" s="397"/>
      <c r="AB18" s="398"/>
      <c r="AC18" s="394"/>
      <c r="AD18" s="401"/>
      <c r="AE18" s="401"/>
      <c r="AF18" s="402"/>
      <c r="AG18" s="54"/>
      <c r="AH18" s="54"/>
      <c r="AI18" s="63"/>
      <c r="AJ18" s="10"/>
      <c r="AK18" s="10"/>
      <c r="AL18" s="54"/>
      <c r="AM18" s="54"/>
    </row>
    <row r="19" spans="1:39" ht="2.25" customHeight="1" thickBot="1" x14ac:dyDescent="0.35">
      <c r="A19" s="114"/>
      <c r="B19" s="16"/>
      <c r="C19" s="59"/>
      <c r="D19" s="10"/>
      <c r="E19" s="11"/>
      <c r="F19" s="17"/>
      <c r="G19" s="17"/>
      <c r="H19" s="17"/>
      <c r="I19" s="54"/>
      <c r="J19" s="266">
        <v>4</v>
      </c>
      <c r="K19" s="353"/>
      <c r="L19" s="355"/>
      <c r="M19" s="356"/>
      <c r="N19" s="356"/>
      <c r="O19" s="356"/>
      <c r="P19" s="356"/>
      <c r="Q19" s="356"/>
      <c r="R19" s="357"/>
      <c r="S19" s="361"/>
      <c r="T19" s="362"/>
      <c r="U19" s="362"/>
      <c r="V19" s="362"/>
      <c r="W19" s="363"/>
      <c r="X19" s="54"/>
      <c r="Y19" s="393"/>
      <c r="Z19" s="394"/>
      <c r="AA19" s="397"/>
      <c r="AB19" s="398"/>
      <c r="AC19" s="394"/>
      <c r="AD19" s="401"/>
      <c r="AE19" s="401"/>
      <c r="AF19" s="402"/>
      <c r="AG19" s="54"/>
      <c r="AH19" s="54"/>
      <c r="AI19" s="63"/>
      <c r="AJ19" s="10"/>
      <c r="AK19" s="10"/>
      <c r="AL19" s="54"/>
      <c r="AM19" s="54"/>
    </row>
    <row r="20" spans="1:39" ht="15" customHeight="1" x14ac:dyDescent="0.3">
      <c r="A20" s="54"/>
      <c r="B20" s="367"/>
      <c r="C20" s="368"/>
      <c r="D20" s="368"/>
      <c r="E20" s="368"/>
      <c r="F20" s="368"/>
      <c r="G20" s="368"/>
      <c r="H20" s="369"/>
      <c r="I20" s="54"/>
      <c r="J20" s="267"/>
      <c r="K20" s="354"/>
      <c r="L20" s="358"/>
      <c r="M20" s="359"/>
      <c r="N20" s="359"/>
      <c r="O20" s="359"/>
      <c r="P20" s="359"/>
      <c r="Q20" s="359"/>
      <c r="R20" s="360"/>
      <c r="S20" s="364"/>
      <c r="T20" s="365"/>
      <c r="U20" s="365"/>
      <c r="V20" s="365"/>
      <c r="W20" s="366"/>
      <c r="X20" s="54"/>
      <c r="Y20" s="393"/>
      <c r="Z20" s="394"/>
      <c r="AA20" s="397"/>
      <c r="AB20" s="398"/>
      <c r="AC20" s="394"/>
      <c r="AD20" s="401"/>
      <c r="AE20" s="401"/>
      <c r="AF20" s="402"/>
      <c r="AG20" s="54"/>
      <c r="AH20" s="54"/>
      <c r="AI20" s="63"/>
      <c r="AJ20" s="10"/>
      <c r="AK20" s="10"/>
      <c r="AL20" s="54"/>
      <c r="AM20" s="54"/>
    </row>
    <row r="21" spans="1:39" ht="15.75" customHeight="1" thickBot="1" x14ac:dyDescent="0.35">
      <c r="A21" s="54"/>
      <c r="B21" s="370"/>
      <c r="C21" s="371"/>
      <c r="D21" s="371"/>
      <c r="E21" s="371"/>
      <c r="F21" s="371"/>
      <c r="G21" s="371"/>
      <c r="H21" s="372"/>
      <c r="I21" s="54"/>
      <c r="J21" s="19">
        <v>5</v>
      </c>
      <c r="K21" s="152"/>
      <c r="L21" s="373"/>
      <c r="M21" s="373"/>
      <c r="N21" s="373"/>
      <c r="O21" s="373"/>
      <c r="P21" s="373"/>
      <c r="Q21" s="373"/>
      <c r="R21" s="373"/>
      <c r="S21" s="374"/>
      <c r="T21" s="374"/>
      <c r="U21" s="374"/>
      <c r="V21" s="374"/>
      <c r="W21" s="375"/>
      <c r="X21" s="54"/>
      <c r="Y21" s="395"/>
      <c r="Z21" s="396"/>
      <c r="AA21" s="399"/>
      <c r="AB21" s="400"/>
      <c r="AC21" s="396"/>
      <c r="AD21" s="403"/>
      <c r="AE21" s="403"/>
      <c r="AF21" s="404"/>
      <c r="AG21" s="54"/>
      <c r="AH21" s="54"/>
      <c r="AI21" s="63"/>
      <c r="AJ21" s="10"/>
      <c r="AK21" s="10"/>
      <c r="AL21" s="54"/>
      <c r="AM21" s="54"/>
    </row>
    <row r="22" spans="1:39" ht="2.25" customHeight="1" thickBot="1" x14ac:dyDescent="0.35">
      <c r="A22" s="54"/>
      <c r="B22" s="2"/>
      <c r="C22" s="54"/>
      <c r="D22" s="10"/>
      <c r="E22" s="8"/>
      <c r="F22" s="14"/>
      <c r="G22" s="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54"/>
      <c r="AC22" s="54"/>
      <c r="AD22" s="54"/>
      <c r="AE22" s="54"/>
      <c r="AF22" s="54"/>
      <c r="AG22" s="54"/>
      <c r="AH22" s="54"/>
      <c r="AI22" s="63"/>
      <c r="AJ22" s="10"/>
      <c r="AK22" s="10"/>
      <c r="AL22" s="54"/>
      <c r="AM22" s="54"/>
    </row>
    <row r="23" spans="1:39" ht="15" customHeight="1" x14ac:dyDescent="0.3">
      <c r="A23" s="114"/>
      <c r="B23" s="28" t="s">
        <v>51</v>
      </c>
      <c r="C23" s="258" t="s">
        <v>52</v>
      </c>
      <c r="D23" s="259"/>
      <c r="E23" s="260"/>
      <c r="F23" s="29" t="s">
        <v>53</v>
      </c>
      <c r="G23" s="13"/>
      <c r="H23" s="261" t="s">
        <v>54</v>
      </c>
      <c r="I23" s="234"/>
      <c r="J23" s="234"/>
      <c r="K23" s="234"/>
      <c r="L23" s="262" t="s">
        <v>51</v>
      </c>
      <c r="M23" s="262"/>
      <c r="N23" s="262"/>
      <c r="O23" s="234" t="s">
        <v>55</v>
      </c>
      <c r="P23" s="234"/>
      <c r="Q23" s="234"/>
      <c r="R23" s="263" t="s">
        <v>56</v>
      </c>
      <c r="S23" s="264"/>
      <c r="T23" s="264"/>
      <c r="U23" s="264"/>
      <c r="V23" s="264"/>
      <c r="W23" s="264"/>
      <c r="X23" s="264"/>
      <c r="Y23" s="264"/>
      <c r="Z23" s="265"/>
      <c r="AA23" s="54"/>
      <c r="AB23" s="113" t="s">
        <v>57</v>
      </c>
      <c r="AC23" s="111" t="s">
        <v>112</v>
      </c>
      <c r="AD23" s="234" t="s">
        <v>40</v>
      </c>
      <c r="AE23" s="234"/>
      <c r="AF23" s="235"/>
      <c r="AG23" s="54"/>
      <c r="AH23" s="54"/>
      <c r="AI23" s="63"/>
      <c r="AJ23" s="10"/>
      <c r="AK23" s="10"/>
      <c r="AL23" s="54"/>
      <c r="AM23" s="54"/>
    </row>
    <row r="24" spans="1:39" ht="15" customHeight="1" x14ac:dyDescent="0.3">
      <c r="A24" s="114"/>
      <c r="B24" s="147"/>
      <c r="C24" s="324"/>
      <c r="D24" s="325"/>
      <c r="E24" s="326"/>
      <c r="F24" s="148"/>
      <c r="G24" s="70" t="s">
        <v>58</v>
      </c>
      <c r="H24" s="239" t="s">
        <v>58</v>
      </c>
      <c r="I24" s="240"/>
      <c r="J24" s="240"/>
      <c r="K24" s="240"/>
      <c r="L24" s="327"/>
      <c r="M24" s="328"/>
      <c r="N24" s="329"/>
      <c r="O24" s="327"/>
      <c r="P24" s="328"/>
      <c r="Q24" s="329"/>
      <c r="R24" s="330"/>
      <c r="S24" s="331"/>
      <c r="T24" s="331"/>
      <c r="U24" s="331"/>
      <c r="V24" s="331"/>
      <c r="W24" s="331"/>
      <c r="X24" s="331"/>
      <c r="Y24" s="331"/>
      <c r="Z24" s="332"/>
      <c r="AA24" s="69" t="s">
        <v>94</v>
      </c>
      <c r="AB24" s="112" t="s">
        <v>59</v>
      </c>
      <c r="AC24" s="156"/>
      <c r="AD24" s="351"/>
      <c r="AE24" s="351"/>
      <c r="AF24" s="352"/>
      <c r="AG24" s="54"/>
      <c r="AH24" s="54"/>
      <c r="AI24" s="63"/>
      <c r="AJ24" s="10"/>
      <c r="AK24" s="10"/>
      <c r="AL24" s="54"/>
      <c r="AM24" s="54"/>
    </row>
    <row r="25" spans="1:39" x14ac:dyDescent="0.3">
      <c r="A25" s="114"/>
      <c r="B25" s="147"/>
      <c r="C25" s="324"/>
      <c r="D25" s="325"/>
      <c r="E25" s="326"/>
      <c r="F25" s="148"/>
      <c r="G25" s="71" t="s">
        <v>4</v>
      </c>
      <c r="H25" s="239" t="s">
        <v>4</v>
      </c>
      <c r="I25" s="240"/>
      <c r="J25" s="240"/>
      <c r="K25" s="240"/>
      <c r="L25" s="327"/>
      <c r="M25" s="328"/>
      <c r="N25" s="329"/>
      <c r="O25" s="327"/>
      <c r="P25" s="328"/>
      <c r="Q25" s="329"/>
      <c r="R25" s="330"/>
      <c r="S25" s="331"/>
      <c r="T25" s="331"/>
      <c r="U25" s="331"/>
      <c r="V25" s="331"/>
      <c r="W25" s="331"/>
      <c r="X25" s="331"/>
      <c r="Y25" s="331"/>
      <c r="Z25" s="332"/>
      <c r="AA25" s="69" t="s">
        <v>95</v>
      </c>
      <c r="AB25" s="112" t="s">
        <v>60</v>
      </c>
      <c r="AC25" s="156"/>
      <c r="AD25" s="351"/>
      <c r="AE25" s="351"/>
      <c r="AF25" s="352"/>
      <c r="AG25" s="54"/>
      <c r="AH25" s="54"/>
      <c r="AI25" s="63"/>
      <c r="AJ25" s="10"/>
      <c r="AK25" s="10"/>
      <c r="AL25" s="54"/>
      <c r="AM25" s="54"/>
    </row>
    <row r="26" spans="1:39" x14ac:dyDescent="0.3">
      <c r="A26" s="114"/>
      <c r="B26" s="147"/>
      <c r="C26" s="324"/>
      <c r="D26" s="325"/>
      <c r="E26" s="326"/>
      <c r="F26" s="148"/>
      <c r="G26" s="71" t="s">
        <v>3</v>
      </c>
      <c r="H26" s="239" t="s">
        <v>3</v>
      </c>
      <c r="I26" s="240"/>
      <c r="J26" s="240"/>
      <c r="K26" s="240"/>
      <c r="L26" s="327"/>
      <c r="M26" s="328"/>
      <c r="N26" s="329"/>
      <c r="O26" s="327"/>
      <c r="P26" s="328"/>
      <c r="Q26" s="329"/>
      <c r="R26" s="330"/>
      <c r="S26" s="331"/>
      <c r="T26" s="331"/>
      <c r="U26" s="331"/>
      <c r="V26" s="331"/>
      <c r="W26" s="331"/>
      <c r="X26" s="331"/>
      <c r="Y26" s="331"/>
      <c r="Z26" s="332"/>
      <c r="AA26" s="69" t="s">
        <v>61</v>
      </c>
      <c r="AB26" s="112" t="s">
        <v>61</v>
      </c>
      <c r="AC26" s="156"/>
      <c r="AD26" s="351"/>
      <c r="AE26" s="351"/>
      <c r="AF26" s="352"/>
      <c r="AG26" s="54"/>
      <c r="AH26" s="54"/>
      <c r="AI26" s="63"/>
      <c r="AJ26" s="10"/>
      <c r="AK26" s="10"/>
      <c r="AL26" s="54"/>
      <c r="AM26" s="54"/>
    </row>
    <row r="27" spans="1:39" x14ac:dyDescent="0.3">
      <c r="A27" s="114"/>
      <c r="B27" s="147"/>
      <c r="C27" s="324"/>
      <c r="D27" s="325"/>
      <c r="E27" s="326"/>
      <c r="F27" s="148"/>
      <c r="G27" s="71" t="s">
        <v>99</v>
      </c>
      <c r="H27" s="239" t="s">
        <v>2</v>
      </c>
      <c r="I27" s="240"/>
      <c r="J27" s="240"/>
      <c r="K27" s="240"/>
      <c r="L27" s="327"/>
      <c r="M27" s="328"/>
      <c r="N27" s="329"/>
      <c r="O27" s="327"/>
      <c r="P27" s="328"/>
      <c r="Q27" s="329"/>
      <c r="R27" s="330"/>
      <c r="S27" s="331"/>
      <c r="T27" s="331"/>
      <c r="U27" s="331"/>
      <c r="V27" s="331"/>
      <c r="W27" s="331"/>
      <c r="X27" s="331"/>
      <c r="Y27" s="331"/>
      <c r="Z27" s="332"/>
      <c r="AA27" s="69" t="s">
        <v>96</v>
      </c>
      <c r="AB27" s="112" t="s">
        <v>62</v>
      </c>
      <c r="AC27" s="156"/>
      <c r="AD27" s="351"/>
      <c r="AE27" s="351"/>
      <c r="AF27" s="352"/>
      <c r="AG27" s="54"/>
      <c r="AH27" s="54"/>
      <c r="AI27" s="63"/>
      <c r="AJ27" s="10"/>
      <c r="AK27" s="10"/>
      <c r="AL27" s="54"/>
      <c r="AM27" s="54"/>
    </row>
    <row r="28" spans="1:39" x14ac:dyDescent="0.3">
      <c r="A28" s="114"/>
      <c r="B28" s="147"/>
      <c r="C28" s="324"/>
      <c r="D28" s="325"/>
      <c r="E28" s="326"/>
      <c r="F28" s="148"/>
      <c r="G28" s="71" t="s">
        <v>100</v>
      </c>
      <c r="H28" s="239" t="s">
        <v>63</v>
      </c>
      <c r="I28" s="240"/>
      <c r="J28" s="240"/>
      <c r="K28" s="240"/>
      <c r="L28" s="327"/>
      <c r="M28" s="328"/>
      <c r="N28" s="329"/>
      <c r="O28" s="327"/>
      <c r="P28" s="328"/>
      <c r="Q28" s="329"/>
      <c r="R28" s="330"/>
      <c r="S28" s="331"/>
      <c r="T28" s="331"/>
      <c r="U28" s="331"/>
      <c r="V28" s="331"/>
      <c r="W28" s="331"/>
      <c r="X28" s="331"/>
      <c r="Y28" s="331"/>
      <c r="Z28" s="332"/>
      <c r="AA28" s="69" t="s">
        <v>97</v>
      </c>
      <c r="AB28" s="112" t="s">
        <v>64</v>
      </c>
      <c r="AC28" s="156"/>
      <c r="AD28" s="351"/>
      <c r="AE28" s="351"/>
      <c r="AF28" s="352"/>
      <c r="AG28" s="54"/>
      <c r="AH28" s="54"/>
      <c r="AI28" s="63"/>
      <c r="AJ28" s="10"/>
      <c r="AK28" s="10"/>
      <c r="AL28" s="54"/>
      <c r="AM28" s="54"/>
    </row>
    <row r="29" spans="1:39" x14ac:dyDescent="0.3">
      <c r="A29" s="114"/>
      <c r="B29" s="147"/>
      <c r="C29" s="324"/>
      <c r="D29" s="325"/>
      <c r="E29" s="326"/>
      <c r="F29" s="148"/>
      <c r="G29" s="71" t="s">
        <v>101</v>
      </c>
      <c r="H29" s="239" t="s">
        <v>65</v>
      </c>
      <c r="I29" s="240"/>
      <c r="J29" s="240"/>
      <c r="K29" s="240"/>
      <c r="L29" s="327"/>
      <c r="M29" s="328"/>
      <c r="N29" s="329"/>
      <c r="O29" s="327"/>
      <c r="P29" s="328"/>
      <c r="Q29" s="329"/>
      <c r="R29" s="330"/>
      <c r="S29" s="331"/>
      <c r="T29" s="331"/>
      <c r="U29" s="331"/>
      <c r="V29" s="331"/>
      <c r="W29" s="331"/>
      <c r="X29" s="331"/>
      <c r="Y29" s="331"/>
      <c r="Z29" s="332"/>
      <c r="AA29" s="69" t="s">
        <v>66</v>
      </c>
      <c r="AB29" s="112" t="s">
        <v>66</v>
      </c>
      <c r="AC29" s="156"/>
      <c r="AD29" s="351"/>
      <c r="AE29" s="351"/>
      <c r="AF29" s="352"/>
      <c r="AG29" s="54"/>
      <c r="AH29" s="54"/>
      <c r="AI29" s="63"/>
      <c r="AJ29" s="10"/>
      <c r="AK29" s="10"/>
      <c r="AL29" s="54"/>
      <c r="AM29" s="54"/>
    </row>
    <row r="30" spans="1:39" ht="15" thickBot="1" x14ac:dyDescent="0.35">
      <c r="A30" s="114"/>
      <c r="B30" s="147"/>
      <c r="C30" s="324"/>
      <c r="D30" s="325"/>
      <c r="E30" s="326"/>
      <c r="F30" s="148"/>
      <c r="G30" s="71" t="s">
        <v>102</v>
      </c>
      <c r="H30" s="239" t="s">
        <v>67</v>
      </c>
      <c r="I30" s="240"/>
      <c r="J30" s="240"/>
      <c r="K30" s="240"/>
      <c r="L30" s="327"/>
      <c r="M30" s="328"/>
      <c r="N30" s="329"/>
      <c r="O30" s="327"/>
      <c r="P30" s="328"/>
      <c r="Q30" s="329"/>
      <c r="R30" s="330"/>
      <c r="S30" s="331"/>
      <c r="T30" s="331"/>
      <c r="U30" s="331"/>
      <c r="V30" s="331"/>
      <c r="W30" s="331"/>
      <c r="X30" s="331"/>
      <c r="Y30" s="331"/>
      <c r="Z30" s="332"/>
      <c r="AA30" s="69" t="s">
        <v>98</v>
      </c>
      <c r="AB30" s="116" t="s">
        <v>68</v>
      </c>
      <c r="AC30" s="157"/>
      <c r="AD30" s="349"/>
      <c r="AE30" s="349"/>
      <c r="AF30" s="350"/>
      <c r="AG30" s="54"/>
      <c r="AH30" s="54"/>
      <c r="AI30" s="63"/>
      <c r="AJ30" s="10"/>
      <c r="AK30" s="10"/>
      <c r="AL30" s="54"/>
      <c r="AM30" s="54"/>
    </row>
    <row r="31" spans="1:39" ht="15" thickBot="1" x14ac:dyDescent="0.35">
      <c r="A31" s="114"/>
      <c r="B31" s="147"/>
      <c r="C31" s="324"/>
      <c r="D31" s="325"/>
      <c r="E31" s="326"/>
      <c r="F31" s="148"/>
      <c r="G31" s="71" t="s">
        <v>103</v>
      </c>
      <c r="H31" s="239" t="s">
        <v>69</v>
      </c>
      <c r="I31" s="240"/>
      <c r="J31" s="240"/>
      <c r="K31" s="240"/>
      <c r="L31" s="327"/>
      <c r="M31" s="328"/>
      <c r="N31" s="329"/>
      <c r="O31" s="327"/>
      <c r="P31" s="328"/>
      <c r="Q31" s="329"/>
      <c r="R31" s="330"/>
      <c r="S31" s="331"/>
      <c r="T31" s="331"/>
      <c r="U31" s="331"/>
      <c r="V31" s="331"/>
      <c r="W31" s="331"/>
      <c r="X31" s="331"/>
      <c r="Y31" s="331"/>
      <c r="Z31" s="332"/>
      <c r="AA31" s="54"/>
      <c r="AB31" s="289"/>
      <c r="AC31" s="289"/>
      <c r="AD31" s="289"/>
      <c r="AE31" s="289"/>
      <c r="AF31" s="289"/>
      <c r="AG31" s="54"/>
      <c r="AH31" s="54"/>
      <c r="AI31" s="63"/>
      <c r="AJ31" s="10"/>
      <c r="AK31" s="10"/>
      <c r="AL31" s="54"/>
      <c r="AM31" s="54"/>
    </row>
    <row r="32" spans="1:39" x14ac:dyDescent="0.3">
      <c r="A32" s="114"/>
      <c r="B32" s="147"/>
      <c r="C32" s="324"/>
      <c r="D32" s="325"/>
      <c r="E32" s="326"/>
      <c r="F32" s="148"/>
      <c r="G32" s="71" t="s">
        <v>104</v>
      </c>
      <c r="H32" s="239" t="s">
        <v>70</v>
      </c>
      <c r="I32" s="240"/>
      <c r="J32" s="240"/>
      <c r="K32" s="240"/>
      <c r="L32" s="327"/>
      <c r="M32" s="328"/>
      <c r="N32" s="329"/>
      <c r="O32" s="327"/>
      <c r="P32" s="328"/>
      <c r="Q32" s="329"/>
      <c r="R32" s="330"/>
      <c r="S32" s="331"/>
      <c r="T32" s="331"/>
      <c r="U32" s="331"/>
      <c r="V32" s="331"/>
      <c r="W32" s="331"/>
      <c r="X32" s="331"/>
      <c r="Y32" s="331"/>
      <c r="Z32" s="332"/>
      <c r="AA32" s="54"/>
      <c r="AB32" s="30" t="s">
        <v>71</v>
      </c>
      <c r="AC32" s="290" t="s">
        <v>72</v>
      </c>
      <c r="AD32" s="291"/>
      <c r="AE32" s="31"/>
      <c r="AF32" s="32" t="s">
        <v>73</v>
      </c>
      <c r="AG32" s="54"/>
      <c r="AH32" s="54"/>
      <c r="AI32" s="63"/>
      <c r="AJ32" s="10"/>
      <c r="AK32" s="10"/>
      <c r="AL32" s="54"/>
      <c r="AM32" s="54"/>
    </row>
    <row r="33" spans="1:39" x14ac:dyDescent="0.3">
      <c r="A33" s="114"/>
      <c r="B33" s="147"/>
      <c r="C33" s="324"/>
      <c r="D33" s="325"/>
      <c r="E33" s="326"/>
      <c r="F33" s="148"/>
      <c r="G33" s="71" t="s">
        <v>105</v>
      </c>
      <c r="H33" s="284" t="s">
        <v>74</v>
      </c>
      <c r="I33" s="285"/>
      <c r="J33" s="285"/>
      <c r="K33" s="286"/>
      <c r="L33" s="327"/>
      <c r="M33" s="328"/>
      <c r="N33" s="329"/>
      <c r="O33" s="327"/>
      <c r="P33" s="328"/>
      <c r="Q33" s="329"/>
      <c r="R33" s="330"/>
      <c r="S33" s="331"/>
      <c r="T33" s="331"/>
      <c r="U33" s="331"/>
      <c r="V33" s="331"/>
      <c r="W33" s="331"/>
      <c r="X33" s="331"/>
      <c r="Y33" s="331"/>
      <c r="Z33" s="332"/>
      <c r="AA33" s="54"/>
      <c r="AB33" s="158"/>
      <c r="AC33" s="347"/>
      <c r="AD33" s="348"/>
      <c r="AE33" s="114"/>
      <c r="AF33" s="160"/>
      <c r="AG33" s="54"/>
      <c r="AH33" s="54"/>
      <c r="AI33" s="63"/>
      <c r="AJ33" s="10"/>
      <c r="AK33" s="10"/>
      <c r="AL33" s="54"/>
      <c r="AM33" s="54"/>
    </row>
    <row r="34" spans="1:39" x14ac:dyDescent="0.3">
      <c r="A34" s="114"/>
      <c r="B34" s="147"/>
      <c r="C34" s="324"/>
      <c r="D34" s="325"/>
      <c r="E34" s="326"/>
      <c r="F34" s="148"/>
      <c r="G34" s="71" t="s">
        <v>106</v>
      </c>
      <c r="H34" s="239" t="s">
        <v>75</v>
      </c>
      <c r="I34" s="240"/>
      <c r="J34" s="240"/>
      <c r="K34" s="240"/>
      <c r="L34" s="327"/>
      <c r="M34" s="328"/>
      <c r="N34" s="329"/>
      <c r="O34" s="327"/>
      <c r="P34" s="328"/>
      <c r="Q34" s="329"/>
      <c r="R34" s="330"/>
      <c r="S34" s="331"/>
      <c r="T34" s="331"/>
      <c r="U34" s="331"/>
      <c r="V34" s="331"/>
      <c r="W34" s="331"/>
      <c r="X34" s="331"/>
      <c r="Y34" s="331"/>
      <c r="Z34" s="332"/>
      <c r="AA34" s="54"/>
      <c r="AB34" s="158"/>
      <c r="AC34" s="347"/>
      <c r="AD34" s="348"/>
      <c r="AE34" s="114"/>
      <c r="AF34" s="160"/>
      <c r="AG34" s="54"/>
      <c r="AH34" s="54"/>
      <c r="AI34" s="63"/>
      <c r="AJ34" s="10"/>
      <c r="AK34" s="10"/>
      <c r="AL34" s="54"/>
      <c r="AM34" s="54"/>
    </row>
    <row r="35" spans="1:39" x14ac:dyDescent="0.3">
      <c r="A35" s="114"/>
      <c r="B35" s="147"/>
      <c r="C35" s="324"/>
      <c r="D35" s="325"/>
      <c r="E35" s="326"/>
      <c r="F35" s="148"/>
      <c r="G35" s="71" t="s">
        <v>5</v>
      </c>
      <c r="H35" s="239" t="s">
        <v>5</v>
      </c>
      <c r="I35" s="240"/>
      <c r="J35" s="240"/>
      <c r="K35" s="240"/>
      <c r="L35" s="327"/>
      <c r="M35" s="328"/>
      <c r="N35" s="329"/>
      <c r="O35" s="327"/>
      <c r="P35" s="328"/>
      <c r="Q35" s="329"/>
      <c r="R35" s="330"/>
      <c r="S35" s="331"/>
      <c r="T35" s="331"/>
      <c r="U35" s="331"/>
      <c r="V35" s="331"/>
      <c r="W35" s="331"/>
      <c r="X35" s="331"/>
      <c r="Y35" s="331"/>
      <c r="Z35" s="332"/>
      <c r="AA35" s="54"/>
      <c r="AB35" s="158"/>
      <c r="AC35" s="347"/>
      <c r="AD35" s="348"/>
      <c r="AE35" s="114"/>
      <c r="AF35" s="160"/>
      <c r="AG35" s="54"/>
      <c r="AH35" s="54"/>
      <c r="AI35" s="63"/>
      <c r="AJ35" s="10"/>
      <c r="AK35" s="10"/>
      <c r="AL35" s="54"/>
      <c r="AM35" s="54"/>
    </row>
    <row r="36" spans="1:39" x14ac:dyDescent="0.3">
      <c r="A36" s="114"/>
      <c r="B36" s="147"/>
      <c r="C36" s="324"/>
      <c r="D36" s="325"/>
      <c r="E36" s="326"/>
      <c r="F36" s="148"/>
      <c r="G36" s="71" t="s">
        <v>107</v>
      </c>
      <c r="H36" s="239" t="s">
        <v>76</v>
      </c>
      <c r="I36" s="240"/>
      <c r="J36" s="240"/>
      <c r="K36" s="240"/>
      <c r="L36" s="327"/>
      <c r="M36" s="328"/>
      <c r="N36" s="329"/>
      <c r="O36" s="327"/>
      <c r="P36" s="328"/>
      <c r="Q36" s="329"/>
      <c r="R36" s="330"/>
      <c r="S36" s="331"/>
      <c r="T36" s="331"/>
      <c r="U36" s="331"/>
      <c r="V36" s="331"/>
      <c r="W36" s="331"/>
      <c r="X36" s="331"/>
      <c r="Y36" s="331"/>
      <c r="Z36" s="332"/>
      <c r="AA36" s="54"/>
      <c r="AB36" s="158"/>
      <c r="AC36" s="347"/>
      <c r="AD36" s="348"/>
      <c r="AE36" s="114"/>
      <c r="AF36" s="160"/>
      <c r="AG36" s="54"/>
      <c r="AH36" s="54"/>
      <c r="AI36" s="63"/>
      <c r="AJ36" s="10"/>
      <c r="AK36" s="10"/>
      <c r="AL36" s="54"/>
      <c r="AM36" s="54"/>
    </row>
    <row r="37" spans="1:39" x14ac:dyDescent="0.3">
      <c r="A37" s="114"/>
      <c r="B37" s="147"/>
      <c r="C37" s="324"/>
      <c r="D37" s="325"/>
      <c r="E37" s="326"/>
      <c r="F37" s="148"/>
      <c r="G37" s="71" t="s">
        <v>108</v>
      </c>
      <c r="H37" s="239" t="s">
        <v>77</v>
      </c>
      <c r="I37" s="240"/>
      <c r="J37" s="240"/>
      <c r="K37" s="240"/>
      <c r="L37" s="327"/>
      <c r="M37" s="328"/>
      <c r="N37" s="329"/>
      <c r="O37" s="327"/>
      <c r="P37" s="328"/>
      <c r="Q37" s="329"/>
      <c r="R37" s="330"/>
      <c r="S37" s="331"/>
      <c r="T37" s="331"/>
      <c r="U37" s="331"/>
      <c r="V37" s="331"/>
      <c r="W37" s="331"/>
      <c r="X37" s="331"/>
      <c r="Y37" s="331"/>
      <c r="Z37" s="332"/>
      <c r="AA37" s="54"/>
      <c r="AB37" s="158"/>
      <c r="AC37" s="347"/>
      <c r="AD37" s="348"/>
      <c r="AE37" s="114"/>
      <c r="AF37" s="160"/>
      <c r="AG37" s="54"/>
      <c r="AH37" s="54"/>
      <c r="AI37" s="63"/>
      <c r="AJ37" s="10"/>
      <c r="AK37" s="10"/>
      <c r="AL37" s="54"/>
      <c r="AM37" s="54"/>
    </row>
    <row r="38" spans="1:39" x14ac:dyDescent="0.3">
      <c r="A38" s="114"/>
      <c r="B38" s="147"/>
      <c r="C38" s="324"/>
      <c r="D38" s="325"/>
      <c r="E38" s="326"/>
      <c r="F38" s="148"/>
      <c r="G38" s="71" t="s">
        <v>109</v>
      </c>
      <c r="H38" s="239" t="s">
        <v>78</v>
      </c>
      <c r="I38" s="240"/>
      <c r="J38" s="240"/>
      <c r="K38" s="240"/>
      <c r="L38" s="327"/>
      <c r="M38" s="328"/>
      <c r="N38" s="329"/>
      <c r="O38" s="327"/>
      <c r="P38" s="328"/>
      <c r="Q38" s="329"/>
      <c r="R38" s="330"/>
      <c r="S38" s="331"/>
      <c r="T38" s="331"/>
      <c r="U38" s="331"/>
      <c r="V38" s="331"/>
      <c r="W38" s="331"/>
      <c r="X38" s="331"/>
      <c r="Y38" s="331"/>
      <c r="Z38" s="332"/>
      <c r="AA38" s="54"/>
      <c r="AB38" s="158"/>
      <c r="AC38" s="347"/>
      <c r="AD38" s="348"/>
      <c r="AE38" s="114"/>
      <c r="AF38" s="160"/>
      <c r="AG38" s="54"/>
      <c r="AH38" s="54"/>
      <c r="AI38" s="63"/>
      <c r="AJ38" s="10"/>
      <c r="AK38" s="10"/>
      <c r="AL38" s="54"/>
      <c r="AM38" s="54"/>
    </row>
    <row r="39" spans="1:39" ht="15" thickBot="1" x14ac:dyDescent="0.35">
      <c r="A39" s="114"/>
      <c r="B39" s="147"/>
      <c r="C39" s="324"/>
      <c r="D39" s="325"/>
      <c r="E39" s="326"/>
      <c r="F39" s="148"/>
      <c r="G39" s="71" t="s">
        <v>79</v>
      </c>
      <c r="H39" s="239" t="s">
        <v>79</v>
      </c>
      <c r="I39" s="240"/>
      <c r="J39" s="240"/>
      <c r="K39" s="240"/>
      <c r="L39" s="327"/>
      <c r="M39" s="328"/>
      <c r="N39" s="329"/>
      <c r="O39" s="327"/>
      <c r="P39" s="328"/>
      <c r="Q39" s="329"/>
      <c r="R39" s="330"/>
      <c r="S39" s="331"/>
      <c r="T39" s="331"/>
      <c r="U39" s="331"/>
      <c r="V39" s="331"/>
      <c r="W39" s="331"/>
      <c r="X39" s="331"/>
      <c r="Y39" s="331"/>
      <c r="Z39" s="332"/>
      <c r="AA39" s="54"/>
      <c r="AB39" s="159"/>
      <c r="AC39" s="345"/>
      <c r="AD39" s="346"/>
      <c r="AE39" s="114"/>
      <c r="AF39" s="161"/>
      <c r="AG39" s="54"/>
      <c r="AH39" s="54"/>
      <c r="AI39" s="63"/>
      <c r="AJ39" s="10"/>
      <c r="AK39" s="10"/>
      <c r="AL39" s="54"/>
      <c r="AM39" s="54"/>
    </row>
    <row r="40" spans="1:39" x14ac:dyDescent="0.3">
      <c r="A40" s="114"/>
      <c r="B40" s="147"/>
      <c r="C40" s="324"/>
      <c r="D40" s="325"/>
      <c r="E40" s="326"/>
      <c r="F40" s="148"/>
      <c r="G40" s="71" t="s">
        <v>110</v>
      </c>
      <c r="H40" s="239" t="s">
        <v>80</v>
      </c>
      <c r="I40" s="240"/>
      <c r="J40" s="240"/>
      <c r="K40" s="240"/>
      <c r="L40" s="327"/>
      <c r="M40" s="328"/>
      <c r="N40" s="329"/>
      <c r="O40" s="327"/>
      <c r="P40" s="328"/>
      <c r="Q40" s="329"/>
      <c r="R40" s="330"/>
      <c r="S40" s="331"/>
      <c r="T40" s="331"/>
      <c r="U40" s="331"/>
      <c r="V40" s="331"/>
      <c r="W40" s="331"/>
      <c r="X40" s="331"/>
      <c r="Y40" s="331"/>
      <c r="Z40" s="332"/>
      <c r="AA40" s="54"/>
      <c r="AB40" s="114"/>
      <c r="AC40" s="114"/>
      <c r="AD40" s="114"/>
      <c r="AE40" s="114"/>
      <c r="AF40" s="114"/>
      <c r="AG40" s="54"/>
      <c r="AH40" s="54"/>
      <c r="AI40" s="63"/>
      <c r="AJ40" s="10"/>
      <c r="AK40" s="10"/>
      <c r="AL40" s="54"/>
      <c r="AM40" s="54"/>
    </row>
    <row r="41" spans="1:39" x14ac:dyDescent="0.3">
      <c r="A41" s="114"/>
      <c r="B41" s="147"/>
      <c r="C41" s="324"/>
      <c r="D41" s="325"/>
      <c r="E41" s="326"/>
      <c r="F41" s="148"/>
      <c r="G41" s="71" t="s">
        <v>111</v>
      </c>
      <c r="H41" s="239" t="s">
        <v>81</v>
      </c>
      <c r="I41" s="240"/>
      <c r="J41" s="240"/>
      <c r="K41" s="240"/>
      <c r="L41" s="327"/>
      <c r="M41" s="328"/>
      <c r="N41" s="329"/>
      <c r="O41" s="327"/>
      <c r="P41" s="328"/>
      <c r="Q41" s="329"/>
      <c r="R41" s="330"/>
      <c r="S41" s="331"/>
      <c r="T41" s="331"/>
      <c r="U41" s="331"/>
      <c r="V41" s="331"/>
      <c r="W41" s="331"/>
      <c r="X41" s="331"/>
      <c r="Y41" s="331"/>
      <c r="Z41" s="332"/>
      <c r="AA41" s="54"/>
      <c r="AB41" s="114"/>
      <c r="AC41" s="114"/>
      <c r="AD41" s="114"/>
      <c r="AE41" s="114"/>
      <c r="AF41" s="114"/>
      <c r="AG41" s="54"/>
      <c r="AH41" s="54"/>
      <c r="AI41" s="63"/>
      <c r="AJ41" s="10"/>
      <c r="AK41" s="10"/>
      <c r="AL41" s="54"/>
      <c r="AM41" s="54"/>
    </row>
    <row r="42" spans="1:39" x14ac:dyDescent="0.3">
      <c r="A42" s="114"/>
      <c r="B42" s="147"/>
      <c r="C42" s="324"/>
      <c r="D42" s="325"/>
      <c r="E42" s="326"/>
      <c r="F42" s="148"/>
      <c r="G42" s="71" t="s">
        <v>14</v>
      </c>
      <c r="H42" s="239" t="s">
        <v>88</v>
      </c>
      <c r="I42" s="240"/>
      <c r="J42" s="240"/>
      <c r="K42" s="240"/>
      <c r="L42" s="327"/>
      <c r="M42" s="328"/>
      <c r="N42" s="329"/>
      <c r="O42" s="327"/>
      <c r="P42" s="328"/>
      <c r="Q42" s="329"/>
      <c r="R42" s="330"/>
      <c r="S42" s="331"/>
      <c r="T42" s="331"/>
      <c r="U42" s="331"/>
      <c r="V42" s="331"/>
      <c r="W42" s="331"/>
      <c r="X42" s="331"/>
      <c r="Y42" s="331"/>
      <c r="Z42" s="332"/>
      <c r="AA42" s="54"/>
      <c r="AB42" s="114"/>
      <c r="AC42" s="114"/>
      <c r="AD42" s="114"/>
      <c r="AE42" s="114"/>
      <c r="AF42" s="114"/>
      <c r="AG42" s="54"/>
      <c r="AH42" s="54"/>
      <c r="AI42" s="63"/>
      <c r="AJ42" s="10"/>
      <c r="AK42" s="10"/>
      <c r="AL42" s="54"/>
      <c r="AM42" s="54"/>
    </row>
    <row r="43" spans="1:39" ht="15" thickBot="1" x14ac:dyDescent="0.35">
      <c r="A43" s="114"/>
      <c r="B43" s="149"/>
      <c r="C43" s="333"/>
      <c r="D43" s="334"/>
      <c r="E43" s="335"/>
      <c r="F43" s="150"/>
      <c r="G43" s="54"/>
      <c r="H43" s="295"/>
      <c r="I43" s="296"/>
      <c r="J43" s="296"/>
      <c r="K43" s="296"/>
      <c r="L43" s="336"/>
      <c r="M43" s="337"/>
      <c r="N43" s="338"/>
      <c r="O43" s="339"/>
      <c r="P43" s="340"/>
      <c r="Q43" s="341"/>
      <c r="R43" s="342"/>
      <c r="S43" s="343"/>
      <c r="T43" s="343"/>
      <c r="U43" s="343"/>
      <c r="V43" s="343"/>
      <c r="W43" s="343"/>
      <c r="X43" s="343"/>
      <c r="Y43" s="343"/>
      <c r="Z43" s="344"/>
      <c r="AA43" s="54"/>
      <c r="AB43" s="114"/>
      <c r="AC43" s="114"/>
      <c r="AD43" s="114"/>
      <c r="AE43" s="114"/>
      <c r="AF43" s="114"/>
      <c r="AG43" s="54"/>
      <c r="AH43" s="54"/>
      <c r="AI43" s="63"/>
      <c r="AJ43" s="10"/>
      <c r="AK43" s="10"/>
      <c r="AL43" s="54"/>
      <c r="AM43" s="54"/>
    </row>
    <row r="44" spans="1:39" ht="15" customHeight="1" x14ac:dyDescent="0.3">
      <c r="A44" s="114"/>
      <c r="B44" s="15"/>
      <c r="C44" s="114"/>
      <c r="D44" s="114"/>
      <c r="E44" s="15"/>
      <c r="F44" s="114"/>
      <c r="G44" s="5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114"/>
      <c r="AA44" s="54"/>
      <c r="AB44" s="114"/>
      <c r="AC44" s="114"/>
      <c r="AD44" s="114"/>
      <c r="AE44" s="114"/>
      <c r="AF44" s="114"/>
      <c r="AG44" s="54"/>
      <c r="AH44" s="54"/>
      <c r="AI44" s="63"/>
      <c r="AJ44" s="10"/>
      <c r="AK44" s="10"/>
      <c r="AL44" s="54"/>
      <c r="AM44" s="54"/>
    </row>
    <row r="45" spans="1:39" ht="15" customHeight="1" x14ac:dyDescent="0.3">
      <c r="A45" s="54"/>
      <c r="B45" s="2"/>
      <c r="C45" s="54"/>
      <c r="D45" s="54"/>
      <c r="E45" s="2"/>
      <c r="F45" s="54"/>
      <c r="G45" s="5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114"/>
      <c r="AA45" s="54"/>
      <c r="AB45" s="114"/>
      <c r="AC45" s="114"/>
      <c r="AD45" s="114"/>
      <c r="AE45" s="114"/>
      <c r="AF45" s="114"/>
      <c r="AG45" s="54"/>
      <c r="AH45" s="54"/>
      <c r="AI45" s="63"/>
      <c r="AJ45" s="10"/>
      <c r="AK45" s="10"/>
      <c r="AL45" s="54"/>
      <c r="AM45" s="54"/>
    </row>
    <row r="46" spans="1:39" ht="15" customHeight="1" x14ac:dyDescent="0.3">
      <c r="A46" s="54"/>
      <c r="B46" s="2"/>
      <c r="C46" s="54"/>
      <c r="D46" s="54"/>
      <c r="E46" s="2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63"/>
      <c r="AJ46" s="10"/>
      <c r="AK46" s="10"/>
      <c r="AL46" s="54"/>
      <c r="AM46" s="54"/>
    </row>
    <row r="47" spans="1:39" ht="15" customHeight="1" x14ac:dyDescent="0.3">
      <c r="A47" s="54"/>
      <c r="B47" s="2"/>
      <c r="C47" s="54"/>
      <c r="D47" s="54"/>
      <c r="E47" s="2"/>
      <c r="F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63"/>
      <c r="AJ47" s="10"/>
      <c r="AK47" s="10"/>
      <c r="AL47" s="54"/>
      <c r="AM47" s="54"/>
    </row>
    <row r="48" spans="1:39" ht="15" customHeight="1" x14ac:dyDescent="0.3"/>
    <row r="49" ht="15" customHeight="1" x14ac:dyDescent="0.3"/>
    <row r="50" ht="15" customHeight="1" x14ac:dyDescent="0.3"/>
  </sheetData>
  <mergeCells count="204">
    <mergeCell ref="V3:W3"/>
    <mergeCell ref="H4:H5"/>
    <mergeCell ref="E7:E8"/>
    <mergeCell ref="F7:F8"/>
    <mergeCell ref="G7:I8"/>
    <mergeCell ref="J7:Q7"/>
    <mergeCell ref="R7:W7"/>
    <mergeCell ref="J8:K8"/>
    <mergeCell ref="L8:M8"/>
    <mergeCell ref="N8:O8"/>
    <mergeCell ref="H2:H3"/>
    <mergeCell ref="J2:Q2"/>
    <mergeCell ref="R2:W2"/>
    <mergeCell ref="J3:K3"/>
    <mergeCell ref="L3:M3"/>
    <mergeCell ref="N3:O3"/>
    <mergeCell ref="P3:Q3"/>
    <mergeCell ref="R3:S3"/>
    <mergeCell ref="T3:U3"/>
    <mergeCell ref="P8:Q8"/>
    <mergeCell ref="R8:S8"/>
    <mergeCell ref="T8:U8"/>
    <mergeCell ref="V8:W8"/>
    <mergeCell ref="G9:I9"/>
    <mergeCell ref="J9:K9"/>
    <mergeCell ref="L9:M9"/>
    <mergeCell ref="N9:O9"/>
    <mergeCell ref="P9:Q9"/>
    <mergeCell ref="R9:S9"/>
    <mergeCell ref="T9:U9"/>
    <mergeCell ref="V9:W9"/>
    <mergeCell ref="G10:I10"/>
    <mergeCell ref="J10:K10"/>
    <mergeCell ref="L10:M10"/>
    <mergeCell ref="N10:O10"/>
    <mergeCell ref="P10:Q10"/>
    <mergeCell ref="R10:S10"/>
    <mergeCell ref="T10:U10"/>
    <mergeCell ref="V10:W10"/>
    <mergeCell ref="Y13:Z13"/>
    <mergeCell ref="AA13:AC13"/>
    <mergeCell ref="AD13:AF13"/>
    <mergeCell ref="Y14:Z21"/>
    <mergeCell ref="AA14:AC21"/>
    <mergeCell ref="AD14:AF21"/>
    <mergeCell ref="T11:U11"/>
    <mergeCell ref="V11:W11"/>
    <mergeCell ref="G13:I13"/>
    <mergeCell ref="J13:K13"/>
    <mergeCell ref="L13:M13"/>
    <mergeCell ref="N13:O13"/>
    <mergeCell ref="P13:Q13"/>
    <mergeCell ref="R13:S13"/>
    <mergeCell ref="T13:U13"/>
    <mergeCell ref="V13:W13"/>
    <mergeCell ref="G11:I11"/>
    <mergeCell ref="J11:K11"/>
    <mergeCell ref="L11:M11"/>
    <mergeCell ref="N11:O11"/>
    <mergeCell ref="P11:Q11"/>
    <mergeCell ref="R11:S11"/>
    <mergeCell ref="Y2:AF11"/>
    <mergeCell ref="S18:W18"/>
    <mergeCell ref="J19:J20"/>
    <mergeCell ref="K19:K20"/>
    <mergeCell ref="L19:R20"/>
    <mergeCell ref="S19:W20"/>
    <mergeCell ref="B20:H21"/>
    <mergeCell ref="L21:R21"/>
    <mergeCell ref="S21:W21"/>
    <mergeCell ref="F15:H15"/>
    <mergeCell ref="J15:R15"/>
    <mergeCell ref="S15:W15"/>
    <mergeCell ref="E16:E18"/>
    <mergeCell ref="F16:H18"/>
    <mergeCell ref="L16:R16"/>
    <mergeCell ref="S16:W16"/>
    <mergeCell ref="L17:R17"/>
    <mergeCell ref="S17:W17"/>
    <mergeCell ref="L18:R18"/>
    <mergeCell ref="C24:E24"/>
    <mergeCell ref="H24:K24"/>
    <mergeCell ref="L24:N24"/>
    <mergeCell ref="O24:Q24"/>
    <mergeCell ref="R24:Z24"/>
    <mergeCell ref="AD24:AF24"/>
    <mergeCell ref="C23:E23"/>
    <mergeCell ref="H23:K23"/>
    <mergeCell ref="L23:N23"/>
    <mergeCell ref="O23:Q23"/>
    <mergeCell ref="R23:Z23"/>
    <mergeCell ref="AD23:AF23"/>
    <mergeCell ref="C26:E26"/>
    <mergeCell ref="H26:K26"/>
    <mergeCell ref="L26:N26"/>
    <mergeCell ref="O26:Q26"/>
    <mergeCell ref="R26:Z26"/>
    <mergeCell ref="AD26:AF26"/>
    <mergeCell ref="C25:E25"/>
    <mergeCell ref="H25:K25"/>
    <mergeCell ref="L25:N25"/>
    <mergeCell ref="O25:Q25"/>
    <mergeCell ref="R25:Z25"/>
    <mergeCell ref="AD25:AF25"/>
    <mergeCell ref="C28:E28"/>
    <mergeCell ref="H28:K28"/>
    <mergeCell ref="L28:N28"/>
    <mergeCell ref="O28:Q28"/>
    <mergeCell ref="R28:Z28"/>
    <mergeCell ref="AD28:AF28"/>
    <mergeCell ref="C27:E27"/>
    <mergeCell ref="H27:K27"/>
    <mergeCell ref="L27:N27"/>
    <mergeCell ref="O27:Q27"/>
    <mergeCell ref="R27:Z27"/>
    <mergeCell ref="AD27:AF27"/>
    <mergeCell ref="C30:E30"/>
    <mergeCell ref="H30:K30"/>
    <mergeCell ref="L30:N30"/>
    <mergeCell ref="O30:Q30"/>
    <mergeCell ref="R30:Z30"/>
    <mergeCell ref="AD30:AF30"/>
    <mergeCell ref="C29:E29"/>
    <mergeCell ref="H29:K29"/>
    <mergeCell ref="L29:N29"/>
    <mergeCell ref="O29:Q29"/>
    <mergeCell ref="R29:Z29"/>
    <mergeCell ref="AD29:AF29"/>
    <mergeCell ref="C33:E33"/>
    <mergeCell ref="H33:K33"/>
    <mergeCell ref="L33:N33"/>
    <mergeCell ref="O33:Q33"/>
    <mergeCell ref="R33:Z33"/>
    <mergeCell ref="AC33:AD33"/>
    <mergeCell ref="AD31:AF31"/>
    <mergeCell ref="C32:E32"/>
    <mergeCell ref="H32:K32"/>
    <mergeCell ref="L32:N32"/>
    <mergeCell ref="O32:Q32"/>
    <mergeCell ref="R32:Z32"/>
    <mergeCell ref="AC32:AD32"/>
    <mergeCell ref="C31:E31"/>
    <mergeCell ref="H31:K31"/>
    <mergeCell ref="L31:N31"/>
    <mergeCell ref="O31:Q31"/>
    <mergeCell ref="R31:Z31"/>
    <mergeCell ref="AB31:AC31"/>
    <mergeCell ref="C35:E35"/>
    <mergeCell ref="H35:K35"/>
    <mergeCell ref="L35:N35"/>
    <mergeCell ref="O35:Q35"/>
    <mergeCell ref="R35:Z35"/>
    <mergeCell ref="AC35:AD35"/>
    <mergeCell ref="C34:E34"/>
    <mergeCell ref="H34:K34"/>
    <mergeCell ref="L34:N34"/>
    <mergeCell ref="O34:Q34"/>
    <mergeCell ref="R34:Z34"/>
    <mergeCell ref="AC34:AD34"/>
    <mergeCell ref="C37:E37"/>
    <mergeCell ref="H37:K37"/>
    <mergeCell ref="L37:N37"/>
    <mergeCell ref="O37:Q37"/>
    <mergeCell ref="R37:Z37"/>
    <mergeCell ref="AC37:AD37"/>
    <mergeCell ref="C36:E36"/>
    <mergeCell ref="H36:K36"/>
    <mergeCell ref="L36:N36"/>
    <mergeCell ref="O36:Q36"/>
    <mergeCell ref="R36:Z36"/>
    <mergeCell ref="AC36:AD36"/>
    <mergeCell ref="O39:Q39"/>
    <mergeCell ref="R39:Z39"/>
    <mergeCell ref="AC39:AD39"/>
    <mergeCell ref="C38:E38"/>
    <mergeCell ref="H38:K38"/>
    <mergeCell ref="L38:N38"/>
    <mergeCell ref="O38:Q38"/>
    <mergeCell ref="R38:Z38"/>
    <mergeCell ref="AC38:AD38"/>
    <mergeCell ref="AH5:AH6"/>
    <mergeCell ref="C42:E42"/>
    <mergeCell ref="H42:K42"/>
    <mergeCell ref="L42:N42"/>
    <mergeCell ref="O42:Q42"/>
    <mergeCell ref="R42:Z42"/>
    <mergeCell ref="C43:E43"/>
    <mergeCell ref="H43:K43"/>
    <mergeCell ref="L43:N43"/>
    <mergeCell ref="O43:Q43"/>
    <mergeCell ref="R43:Z43"/>
    <mergeCell ref="C40:E40"/>
    <mergeCell ref="H40:K40"/>
    <mergeCell ref="L40:N40"/>
    <mergeCell ref="O40:Q40"/>
    <mergeCell ref="R40:Z40"/>
    <mergeCell ref="C41:E41"/>
    <mergeCell ref="H41:K41"/>
    <mergeCell ref="L41:N41"/>
    <mergeCell ref="O41:Q41"/>
    <mergeCell ref="R41:Z41"/>
    <mergeCell ref="C39:E39"/>
    <mergeCell ref="H39:K39"/>
    <mergeCell ref="L39:N39"/>
  </mergeCells>
  <conditionalFormatting sqref="H4:H5">
    <cfRule type="cellIs" dxfId="80" priority="8" operator="equal">
      <formula>"↓"</formula>
    </cfRule>
    <cfRule type="cellIs" dxfId="79" priority="9" operator="equal">
      <formula>"↑"</formula>
    </cfRule>
  </conditionalFormatting>
  <conditionalFormatting sqref="S16:W21">
    <cfRule type="expression" dxfId="78" priority="7">
      <formula>AND(ISNUMBER(S16),S16&lt;TODAY())</formula>
    </cfRule>
  </conditionalFormatting>
  <conditionalFormatting sqref="G10:W10">
    <cfRule type="cellIs" dxfId="77" priority="6" operator="greaterThan">
      <formula>G9</formula>
    </cfRule>
  </conditionalFormatting>
  <conditionalFormatting sqref="G11:W11">
    <cfRule type="cellIs" dxfId="76" priority="5" operator="greaterThan">
      <formula>0</formula>
    </cfRule>
  </conditionalFormatting>
  <conditionalFormatting sqref="O24:O43">
    <cfRule type="expression" dxfId="75" priority="4">
      <formula>OR(NOT(ISERROR(SEARCH("COMPLETE",O24))),NOT(ISERROR(SEARCH("RELEASED",O24))))</formula>
    </cfRule>
  </conditionalFormatting>
  <conditionalFormatting sqref="O24:Q43">
    <cfRule type="expression" dxfId="74" priority="3">
      <formula>NOT(ISERROR(SEARCH("ECO",O24)))</formula>
    </cfRule>
  </conditionalFormatting>
  <conditionalFormatting sqref="F24:F43">
    <cfRule type="expression" dxfId="73" priority="1">
      <formula>AND($F24&gt;0,DATEVALUE(RIGHT($F24,2)&amp;"-"&amp;MID($F24,6,3)&amp;"-"&amp;LEFT($F24,4))&lt;TODAY())</formula>
    </cfRule>
    <cfRule type="expression" dxfId="72" priority="2">
      <formula>AND($F24&gt;0,DATEVALUE(RIGHT($F24,2)&amp;"-"&amp;MID($F24,6,3)&amp;"-"&amp;LEFT($F24+$A$28,4))&lt;TODAY()+7)</formula>
    </cfRule>
  </conditionalFormatting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B4868-A50C-4B77-B1B4-C19574F674AF}">
  <sheetPr codeName="Sheet5">
    <pageSetUpPr autoPageBreaks="0"/>
  </sheetPr>
  <dimension ref="A1:AM50"/>
  <sheetViews>
    <sheetView showGridLines="0" tabSelected="1" topLeftCell="A7" zoomScaleNormal="100" zoomScaleSheetLayoutView="85" workbookViewId="0"/>
  </sheetViews>
  <sheetFormatPr defaultRowHeight="14.4" x14ac:dyDescent="0.3"/>
  <cols>
    <col min="1" max="1" width="0.44140625" customWidth="1"/>
    <col min="2" max="2" width="15.88671875" customWidth="1"/>
    <col min="3" max="3" width="15.33203125" customWidth="1"/>
    <col min="4" max="4" width="0.6640625" customWidth="1"/>
    <col min="5" max="5" width="12.88671875" customWidth="1"/>
    <col min="6" max="6" width="16" customWidth="1"/>
    <col min="7" max="7" width="0.5546875" customWidth="1"/>
    <col min="8" max="8" width="12.88671875" customWidth="1"/>
    <col min="9" max="9" width="0.5546875" customWidth="1"/>
    <col min="10" max="23" width="6.5546875" customWidth="1"/>
    <col min="24" max="24" width="0.6640625" customWidth="1"/>
    <col min="25" max="25" width="13.6640625" customWidth="1"/>
    <col min="26" max="26" width="9.44140625" customWidth="1"/>
    <col min="27" max="27" width="0.5546875" customWidth="1"/>
    <col min="28" max="28" width="12.5546875" customWidth="1"/>
    <col min="29" max="30" width="11.44140625" customWidth="1"/>
    <col min="31" max="31" width="0.88671875" customWidth="1"/>
    <col min="32" max="32" width="12.88671875" customWidth="1"/>
    <col min="35" max="35" width="12.5546875" style="64" customWidth="1"/>
    <col min="36" max="37" width="9.109375" style="65"/>
  </cols>
  <sheetData>
    <row r="1" spans="1:39" ht="2.25" customHeight="1" thickBot="1" x14ac:dyDescent="0.35">
      <c r="A1" s="31" t="s">
        <v>130</v>
      </c>
      <c r="B1" s="15"/>
      <c r="C1" s="106"/>
      <c r="D1" s="54"/>
      <c r="E1" s="2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63" t="s">
        <v>115</v>
      </c>
      <c r="AJ1" s="10" t="s">
        <v>30</v>
      </c>
      <c r="AK1" s="10" t="s">
        <v>29</v>
      </c>
      <c r="AL1" s="54"/>
      <c r="AM1" s="54"/>
    </row>
    <row r="2" spans="1:39" ht="15.75" customHeight="1" thickBot="1" x14ac:dyDescent="0.35">
      <c r="A2" s="106"/>
      <c r="B2" s="107" t="s">
        <v>1</v>
      </c>
      <c r="C2" s="72" t="s">
        <v>195</v>
      </c>
      <c r="D2" s="54"/>
      <c r="E2" s="99" t="s">
        <v>92</v>
      </c>
      <c r="F2" s="62">
        <v>44349</v>
      </c>
      <c r="G2" s="1"/>
      <c r="H2" s="163" t="s">
        <v>8</v>
      </c>
      <c r="I2" s="1"/>
      <c r="J2" s="164" t="s">
        <v>9</v>
      </c>
      <c r="K2" s="164"/>
      <c r="L2" s="164"/>
      <c r="M2" s="164"/>
      <c r="N2" s="164"/>
      <c r="O2" s="164"/>
      <c r="P2" s="164"/>
      <c r="Q2" s="164"/>
      <c r="R2" s="165" t="s">
        <v>10</v>
      </c>
      <c r="S2" s="165"/>
      <c r="T2" s="165"/>
      <c r="U2" s="165"/>
      <c r="V2" s="165"/>
      <c r="W2" s="166"/>
      <c r="X2" s="54"/>
      <c r="Y2" s="167"/>
      <c r="Z2" s="167"/>
      <c r="AA2" s="167"/>
      <c r="AB2" s="167"/>
      <c r="AC2" s="167"/>
      <c r="AD2" s="167"/>
      <c r="AE2" s="167"/>
      <c r="AF2" s="168"/>
      <c r="AG2" s="54"/>
      <c r="AH2" s="54"/>
      <c r="AI2" s="63">
        <v>44313</v>
      </c>
      <c r="AJ2" s="10">
        <v>0.33</v>
      </c>
      <c r="AK2" s="10"/>
      <c r="AL2" s="54"/>
      <c r="AM2" s="54"/>
    </row>
    <row r="3" spans="1:39" ht="15" customHeight="1" thickBot="1" x14ac:dyDescent="0.35">
      <c r="A3" s="106"/>
      <c r="B3" s="33" t="s">
        <v>11</v>
      </c>
      <c r="C3" s="73" t="s">
        <v>336</v>
      </c>
      <c r="D3" s="54"/>
      <c r="E3" s="33" t="s">
        <v>93</v>
      </c>
      <c r="F3" s="85">
        <v>0.25</v>
      </c>
      <c r="G3" s="1"/>
      <c r="H3" s="163"/>
      <c r="I3" s="1"/>
      <c r="J3" s="171" t="s">
        <v>12</v>
      </c>
      <c r="K3" s="171"/>
      <c r="L3" s="171" t="s">
        <v>13</v>
      </c>
      <c r="M3" s="171"/>
      <c r="N3" s="171" t="s">
        <v>14</v>
      </c>
      <c r="O3" s="172"/>
      <c r="P3" s="171" t="s">
        <v>6</v>
      </c>
      <c r="Q3" s="171"/>
      <c r="R3" s="171" t="s">
        <v>12</v>
      </c>
      <c r="S3" s="171"/>
      <c r="T3" s="171" t="s">
        <v>13</v>
      </c>
      <c r="U3" s="172"/>
      <c r="V3" s="171" t="s">
        <v>6</v>
      </c>
      <c r="W3" s="173"/>
      <c r="X3" s="54"/>
      <c r="Y3" s="167"/>
      <c r="Z3" s="167"/>
      <c r="AA3" s="167"/>
      <c r="AB3" s="167"/>
      <c r="AC3" s="167"/>
      <c r="AD3" s="167"/>
      <c r="AE3" s="167"/>
      <c r="AF3" s="168"/>
      <c r="AG3" s="54"/>
      <c r="AH3" s="54"/>
      <c r="AI3" s="63">
        <v>44349</v>
      </c>
      <c r="AJ3" s="10">
        <v>1</v>
      </c>
      <c r="AK3" s="10"/>
      <c r="AL3" s="54"/>
      <c r="AM3" s="54"/>
    </row>
    <row r="4" spans="1:39" ht="15" customHeight="1" thickBot="1" x14ac:dyDescent="0.35">
      <c r="A4" s="106"/>
      <c r="B4" s="34" t="s">
        <v>15</v>
      </c>
      <c r="C4" s="74">
        <v>449022</v>
      </c>
      <c r="D4" s="54"/>
      <c r="E4" s="33" t="s">
        <v>116</v>
      </c>
      <c r="F4" s="86">
        <v>0.25</v>
      </c>
      <c r="G4" s="1"/>
      <c r="H4" s="174" t="str">
        <f>IF(VALUE(LEFT(F10,FIND("(",F10)-1))/VALUE(LEFT(F13,FIND("(",F13)-1))&gt;1.2,"↑",IF(VALUE(LEFT(F10,FIND("(",F10)-1))/VALUE(LEFT(F13,FIND("(",F13)-1))&lt;0.8,"↓","🗘"))</f>
        <v>↓</v>
      </c>
      <c r="I4" s="1"/>
      <c r="J4" s="3" t="s">
        <v>16</v>
      </c>
      <c r="K4" s="4" t="s">
        <v>17</v>
      </c>
      <c r="L4" s="3" t="s">
        <v>16</v>
      </c>
      <c r="M4" s="5" t="s">
        <v>17</v>
      </c>
      <c r="N4" s="3" t="s">
        <v>16</v>
      </c>
      <c r="O4" s="4" t="s">
        <v>17</v>
      </c>
      <c r="P4" s="3" t="s">
        <v>16</v>
      </c>
      <c r="Q4" s="5" t="s">
        <v>17</v>
      </c>
      <c r="R4" s="6" t="s">
        <v>16</v>
      </c>
      <c r="S4" s="4" t="s">
        <v>17</v>
      </c>
      <c r="T4" s="7" t="s">
        <v>16</v>
      </c>
      <c r="U4" s="5" t="s">
        <v>17</v>
      </c>
      <c r="V4" s="6" t="s">
        <v>16</v>
      </c>
      <c r="W4" s="4" t="s">
        <v>17</v>
      </c>
      <c r="X4" s="54"/>
      <c r="Y4" s="167"/>
      <c r="Z4" s="167"/>
      <c r="AA4" s="167"/>
      <c r="AB4" s="167"/>
      <c r="AC4" s="167"/>
      <c r="AD4" s="167"/>
      <c r="AE4" s="167"/>
      <c r="AF4" s="168"/>
      <c r="AG4" s="54"/>
      <c r="AI4" s="63"/>
      <c r="AJ4" s="10"/>
      <c r="AK4" s="10"/>
      <c r="AL4" s="54"/>
      <c r="AM4" s="54"/>
    </row>
    <row r="5" spans="1:39" ht="15.75" customHeight="1" thickBot="1" x14ac:dyDescent="0.35">
      <c r="A5" s="106"/>
      <c r="B5" s="35" t="s">
        <v>19</v>
      </c>
      <c r="C5" s="75" t="s">
        <v>196</v>
      </c>
      <c r="D5" s="54"/>
      <c r="E5" s="35" t="s">
        <v>91</v>
      </c>
      <c r="F5" s="87">
        <v>0</v>
      </c>
      <c r="G5" s="1"/>
      <c r="H5" s="175"/>
      <c r="I5" s="1"/>
      <c r="J5" s="38">
        <v>1118</v>
      </c>
      <c r="K5" s="39">
        <v>900</v>
      </c>
      <c r="L5" s="40">
        <v>1812</v>
      </c>
      <c r="M5" s="41">
        <v>700</v>
      </c>
      <c r="N5" s="40">
        <v>0</v>
      </c>
      <c r="O5" s="42">
        <v>100</v>
      </c>
      <c r="P5" s="38">
        <v>0</v>
      </c>
      <c r="Q5" s="43">
        <v>100</v>
      </c>
      <c r="R5" s="44">
        <v>72</v>
      </c>
      <c r="S5" s="45">
        <v>600</v>
      </c>
      <c r="T5" s="46">
        <v>214</v>
      </c>
      <c r="U5" s="47">
        <v>700</v>
      </c>
      <c r="V5" s="44">
        <v>0</v>
      </c>
      <c r="W5" s="45">
        <v>200</v>
      </c>
      <c r="X5" s="54"/>
      <c r="Y5" s="167"/>
      <c r="Z5" s="167"/>
      <c r="AA5" s="167"/>
      <c r="AB5" s="167"/>
      <c r="AC5" s="167"/>
      <c r="AD5" s="167"/>
      <c r="AE5" s="167"/>
      <c r="AF5" s="168"/>
      <c r="AG5" s="54"/>
      <c r="AH5" s="54"/>
      <c r="AI5" s="63"/>
      <c r="AJ5" s="10"/>
      <c r="AK5" s="10"/>
      <c r="AL5" s="54"/>
      <c r="AM5" s="54"/>
    </row>
    <row r="6" spans="1:39" ht="3.75" customHeight="1" thickBot="1" x14ac:dyDescent="0.35">
      <c r="A6" s="106"/>
      <c r="B6" s="15"/>
      <c r="C6" s="76"/>
      <c r="D6" s="8"/>
      <c r="E6" s="2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167"/>
      <c r="Z6" s="167"/>
      <c r="AA6" s="167"/>
      <c r="AB6" s="167"/>
      <c r="AC6" s="167"/>
      <c r="AD6" s="167"/>
      <c r="AE6" s="167"/>
      <c r="AF6" s="168"/>
      <c r="AG6" s="54"/>
      <c r="AH6" s="54"/>
      <c r="AI6" s="63"/>
      <c r="AJ6" s="10"/>
      <c r="AK6" s="10"/>
      <c r="AL6" s="54"/>
      <c r="AM6" s="54"/>
    </row>
    <row r="7" spans="1:39" ht="15.75" customHeight="1" thickBot="1" x14ac:dyDescent="0.35">
      <c r="A7" s="106"/>
      <c r="B7" s="104" t="s">
        <v>22</v>
      </c>
      <c r="C7" s="77">
        <v>2328894</v>
      </c>
      <c r="D7" s="9"/>
      <c r="E7" s="186" t="s">
        <v>23</v>
      </c>
      <c r="F7" s="187" t="s">
        <v>24</v>
      </c>
      <c r="G7" s="188" t="s">
        <v>0</v>
      </c>
      <c r="H7" s="188"/>
      <c r="I7" s="188"/>
      <c r="J7" s="189" t="s">
        <v>9</v>
      </c>
      <c r="K7" s="189"/>
      <c r="L7" s="189"/>
      <c r="M7" s="189"/>
      <c r="N7" s="189"/>
      <c r="O7" s="189"/>
      <c r="P7" s="189"/>
      <c r="Q7" s="189"/>
      <c r="R7" s="165" t="s">
        <v>10</v>
      </c>
      <c r="S7" s="190"/>
      <c r="T7" s="190"/>
      <c r="U7" s="190"/>
      <c r="V7" s="190"/>
      <c r="W7" s="191"/>
      <c r="X7" s="54"/>
      <c r="Y7" s="167"/>
      <c r="Z7" s="167"/>
      <c r="AA7" s="167"/>
      <c r="AB7" s="167"/>
      <c r="AC7" s="167"/>
      <c r="AD7" s="167"/>
      <c r="AE7" s="167"/>
      <c r="AF7" s="168"/>
      <c r="AG7" s="54"/>
      <c r="AH7" s="54"/>
      <c r="AI7" s="63"/>
      <c r="AJ7" s="10"/>
      <c r="AK7" s="10"/>
      <c r="AL7" s="54"/>
      <c r="AM7" s="54"/>
    </row>
    <row r="8" spans="1:39" ht="15.75" customHeight="1" thickBot="1" x14ac:dyDescent="0.35">
      <c r="A8" s="106"/>
      <c r="B8" s="36" t="s">
        <v>25</v>
      </c>
      <c r="C8" s="78" t="s">
        <v>197</v>
      </c>
      <c r="D8" s="9"/>
      <c r="E8" s="186"/>
      <c r="F8" s="187"/>
      <c r="G8" s="188"/>
      <c r="H8" s="188"/>
      <c r="I8" s="188"/>
      <c r="J8" s="192" t="s">
        <v>12</v>
      </c>
      <c r="K8" s="192"/>
      <c r="L8" s="192" t="s">
        <v>13</v>
      </c>
      <c r="M8" s="171"/>
      <c r="N8" s="192" t="s">
        <v>14</v>
      </c>
      <c r="O8" s="172"/>
      <c r="P8" s="192" t="s">
        <v>6</v>
      </c>
      <c r="Q8" s="171"/>
      <c r="R8" s="192" t="s">
        <v>12</v>
      </c>
      <c r="S8" s="173"/>
      <c r="T8" s="192" t="s">
        <v>13</v>
      </c>
      <c r="U8" s="173"/>
      <c r="V8" s="192" t="s">
        <v>6</v>
      </c>
      <c r="W8" s="172"/>
      <c r="X8" s="54"/>
      <c r="Y8" s="167"/>
      <c r="Z8" s="167"/>
      <c r="AA8" s="167"/>
      <c r="AB8" s="167"/>
      <c r="AC8" s="167"/>
      <c r="AD8" s="167"/>
      <c r="AE8" s="167"/>
      <c r="AF8" s="168"/>
      <c r="AG8" s="54"/>
      <c r="AH8" s="54"/>
      <c r="AI8" s="63"/>
      <c r="AJ8" s="10"/>
      <c r="AK8" s="10"/>
      <c r="AL8" s="54"/>
      <c r="AM8" s="54"/>
    </row>
    <row r="9" spans="1:39" ht="15.75" customHeight="1" thickBot="1" x14ac:dyDescent="0.35">
      <c r="A9" s="106"/>
      <c r="B9" s="36" t="s">
        <v>28</v>
      </c>
      <c r="C9" s="78">
        <v>44099</v>
      </c>
      <c r="D9" s="9"/>
      <c r="E9" s="51" t="s">
        <v>29</v>
      </c>
      <c r="F9" s="48" t="s">
        <v>337</v>
      </c>
      <c r="G9" s="176"/>
      <c r="H9" s="176"/>
      <c r="I9" s="176"/>
      <c r="J9" s="177">
        <v>1350</v>
      </c>
      <c r="K9" s="177"/>
      <c r="L9" s="177">
        <v>900</v>
      </c>
      <c r="M9" s="178"/>
      <c r="N9" s="177">
        <v>150</v>
      </c>
      <c r="O9" s="179"/>
      <c r="P9" s="177">
        <v>150</v>
      </c>
      <c r="Q9" s="178"/>
      <c r="R9" s="177">
        <v>500</v>
      </c>
      <c r="S9" s="179"/>
      <c r="T9" s="177">
        <v>400</v>
      </c>
      <c r="U9" s="180"/>
      <c r="V9" s="177">
        <v>150</v>
      </c>
      <c r="W9" s="179"/>
      <c r="X9" s="54"/>
      <c r="Y9" s="167"/>
      <c r="Z9" s="167"/>
      <c r="AA9" s="167"/>
      <c r="AB9" s="167"/>
      <c r="AC9" s="167"/>
      <c r="AD9" s="167"/>
      <c r="AE9" s="167"/>
      <c r="AF9" s="168"/>
      <c r="AG9" s="54"/>
      <c r="AH9" s="54"/>
      <c r="AI9" s="63"/>
      <c r="AJ9" s="10"/>
      <c r="AK9" s="10"/>
      <c r="AL9" s="54"/>
      <c r="AM9" s="54"/>
    </row>
    <row r="10" spans="1:39" ht="15.75" customHeight="1" thickBot="1" x14ac:dyDescent="0.35">
      <c r="A10" s="106"/>
      <c r="B10" s="36" t="s">
        <v>7</v>
      </c>
      <c r="C10" s="78">
        <v>44505</v>
      </c>
      <c r="D10" s="9"/>
      <c r="E10" s="51" t="s">
        <v>86</v>
      </c>
      <c r="F10" s="49" t="s">
        <v>338</v>
      </c>
      <c r="G10" s="181">
        <v>602586</v>
      </c>
      <c r="H10" s="181"/>
      <c r="I10" s="181"/>
      <c r="J10" s="182">
        <f>SUM(J5:K5)</f>
        <v>2018</v>
      </c>
      <c r="K10" s="182"/>
      <c r="L10" s="183">
        <f>SUM(L5:M5)</f>
        <v>2512</v>
      </c>
      <c r="M10" s="184"/>
      <c r="N10" s="183">
        <f>SUM(N5:O5)</f>
        <v>100</v>
      </c>
      <c r="O10" s="185"/>
      <c r="P10" s="182">
        <f>SUM(P5:Q5)</f>
        <v>100</v>
      </c>
      <c r="Q10" s="193"/>
      <c r="R10" s="182">
        <f>SUM(R5:S5)</f>
        <v>672</v>
      </c>
      <c r="S10" s="194"/>
      <c r="T10" s="182">
        <f>SUM(T5:U5)</f>
        <v>914</v>
      </c>
      <c r="U10" s="195"/>
      <c r="V10" s="182">
        <f>SUM(V5:W5)</f>
        <v>200</v>
      </c>
      <c r="W10" s="194"/>
      <c r="X10" s="54"/>
      <c r="Y10" s="167"/>
      <c r="Z10" s="167"/>
      <c r="AA10" s="167"/>
      <c r="AB10" s="167"/>
      <c r="AC10" s="167"/>
      <c r="AD10" s="167"/>
      <c r="AE10" s="167"/>
      <c r="AF10" s="168"/>
      <c r="AG10" s="54"/>
      <c r="AH10" s="54"/>
      <c r="AI10" s="63"/>
      <c r="AJ10" s="10"/>
      <c r="AK10" s="10"/>
      <c r="AL10" s="54"/>
      <c r="AM10" s="54"/>
    </row>
    <row r="11" spans="1:39" ht="15.75" customHeight="1" thickBot="1" x14ac:dyDescent="0.35">
      <c r="A11" s="106"/>
      <c r="B11" s="37" t="s">
        <v>32</v>
      </c>
      <c r="C11" s="79">
        <v>44530</v>
      </c>
      <c r="D11" s="9"/>
      <c r="E11" s="52" t="s">
        <v>84</v>
      </c>
      <c r="F11" s="88">
        <f>VALUE(LEFT(F9,FIND("(",F9)-1))-VALUE(LEFT(F10,FIND("(",F10)-1))</f>
        <v>975043</v>
      </c>
      <c r="G11" s="196">
        <f>G9-G10</f>
        <v>-602586</v>
      </c>
      <c r="H11" s="196"/>
      <c r="I11" s="196"/>
      <c r="J11" s="197">
        <f>J9-J10</f>
        <v>-668</v>
      </c>
      <c r="K11" s="197"/>
      <c r="L11" s="198">
        <f>L9-L10</f>
        <v>-1612</v>
      </c>
      <c r="M11" s="199"/>
      <c r="N11" s="200">
        <f>N9-N10</f>
        <v>50</v>
      </c>
      <c r="O11" s="201"/>
      <c r="P11" s="197">
        <f>P9-P10</f>
        <v>50</v>
      </c>
      <c r="Q11" s="202"/>
      <c r="R11" s="200">
        <f>R9-R10</f>
        <v>-172</v>
      </c>
      <c r="S11" s="201"/>
      <c r="T11" s="200">
        <f>T9-T10</f>
        <v>-514</v>
      </c>
      <c r="U11" s="203"/>
      <c r="V11" s="200">
        <f>V9-V10</f>
        <v>-50</v>
      </c>
      <c r="W11" s="201"/>
      <c r="X11" s="54"/>
      <c r="Y11" s="169"/>
      <c r="Z11" s="169"/>
      <c r="AA11" s="169"/>
      <c r="AB11" s="169"/>
      <c r="AC11" s="169"/>
      <c r="AD11" s="169"/>
      <c r="AE11" s="169"/>
      <c r="AF11" s="170"/>
      <c r="AG11" s="54"/>
      <c r="AH11" s="54"/>
      <c r="AI11" s="63"/>
      <c r="AJ11" s="10"/>
      <c r="AK11" s="10"/>
      <c r="AL11" s="54"/>
      <c r="AM11" s="54"/>
    </row>
    <row r="12" spans="1:39" ht="3" customHeight="1" thickBot="1" x14ac:dyDescent="0.35">
      <c r="A12" s="106"/>
      <c r="B12" s="15"/>
      <c r="C12" s="80"/>
      <c r="D12" s="54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63"/>
      <c r="AJ12" s="10"/>
      <c r="AK12" s="10"/>
      <c r="AL12" s="54"/>
      <c r="AM12" s="54"/>
    </row>
    <row r="13" spans="1:39" ht="15.75" customHeight="1" thickBot="1" x14ac:dyDescent="0.35">
      <c r="A13" s="106"/>
      <c r="B13" s="104" t="s">
        <v>33</v>
      </c>
      <c r="C13" s="81" t="s">
        <v>34</v>
      </c>
      <c r="D13" s="54"/>
      <c r="E13" s="109" t="s">
        <v>35</v>
      </c>
      <c r="F13" s="50" t="s">
        <v>201</v>
      </c>
      <c r="G13" s="232">
        <v>596243</v>
      </c>
      <c r="H13" s="232"/>
      <c r="I13" s="232"/>
      <c r="J13" s="223">
        <v>1951</v>
      </c>
      <c r="K13" s="223"/>
      <c r="L13" s="233">
        <v>2339</v>
      </c>
      <c r="M13" s="233"/>
      <c r="N13" s="223">
        <v>100</v>
      </c>
      <c r="O13" s="224"/>
      <c r="P13" s="223">
        <v>100</v>
      </c>
      <c r="Q13" s="233"/>
      <c r="R13" s="223">
        <v>611</v>
      </c>
      <c r="S13" s="224"/>
      <c r="T13" s="221">
        <v>794</v>
      </c>
      <c r="U13" s="222"/>
      <c r="V13" s="223">
        <v>200</v>
      </c>
      <c r="W13" s="224"/>
      <c r="X13" s="54"/>
      <c r="Y13" s="309" t="s">
        <v>117</v>
      </c>
      <c r="Z13" s="308"/>
      <c r="AA13" s="306" t="s">
        <v>118</v>
      </c>
      <c r="AB13" s="307"/>
      <c r="AC13" s="308"/>
      <c r="AD13" s="307" t="s">
        <v>119</v>
      </c>
      <c r="AE13" s="307"/>
      <c r="AF13" s="310"/>
      <c r="AG13" s="54"/>
      <c r="AH13" s="54"/>
      <c r="AI13" s="63"/>
      <c r="AJ13" s="10"/>
      <c r="AK13" s="10"/>
      <c r="AL13" s="54"/>
      <c r="AM13" s="54"/>
    </row>
    <row r="14" spans="1:39" ht="15.75" customHeight="1" thickBot="1" x14ac:dyDescent="0.35">
      <c r="A14" s="106"/>
      <c r="B14" s="36" t="s">
        <v>37</v>
      </c>
      <c r="C14" s="103" t="s">
        <v>198</v>
      </c>
      <c r="D14" s="54"/>
      <c r="E14" s="2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319" t="s">
        <v>129</v>
      </c>
      <c r="Z14" s="316"/>
      <c r="AA14" s="315"/>
      <c r="AB14" s="311"/>
      <c r="AC14" s="316"/>
      <c r="AD14" s="311"/>
      <c r="AE14" s="311"/>
      <c r="AF14" s="312"/>
      <c r="AG14" s="54"/>
      <c r="AH14" s="54"/>
      <c r="AI14" s="63"/>
      <c r="AJ14" s="10"/>
      <c r="AK14" s="10"/>
      <c r="AL14" s="54"/>
      <c r="AM14" s="54"/>
    </row>
    <row r="15" spans="1:39" ht="15" customHeight="1" x14ac:dyDescent="0.3">
      <c r="A15" s="106"/>
      <c r="B15" s="36" t="s">
        <v>38</v>
      </c>
      <c r="C15" s="103" t="s">
        <v>125</v>
      </c>
      <c r="D15" s="10"/>
      <c r="E15" s="107" t="s">
        <v>39</v>
      </c>
      <c r="F15" s="225" t="s">
        <v>40</v>
      </c>
      <c r="G15" s="226"/>
      <c r="H15" s="227"/>
      <c r="I15" s="54"/>
      <c r="J15" s="228" t="s">
        <v>41</v>
      </c>
      <c r="K15" s="229"/>
      <c r="L15" s="229"/>
      <c r="M15" s="229"/>
      <c r="N15" s="229"/>
      <c r="O15" s="229"/>
      <c r="P15" s="229"/>
      <c r="Q15" s="229"/>
      <c r="R15" s="229"/>
      <c r="S15" s="230" t="s">
        <v>42</v>
      </c>
      <c r="T15" s="230"/>
      <c r="U15" s="230"/>
      <c r="V15" s="230"/>
      <c r="W15" s="231"/>
      <c r="X15" s="54"/>
      <c r="Y15" s="319"/>
      <c r="Z15" s="316"/>
      <c r="AA15" s="315"/>
      <c r="AB15" s="311"/>
      <c r="AC15" s="316"/>
      <c r="AD15" s="311"/>
      <c r="AE15" s="311"/>
      <c r="AF15" s="312"/>
      <c r="AG15" s="63"/>
      <c r="AH15" s="54"/>
      <c r="AI15" s="63"/>
      <c r="AJ15" s="10"/>
      <c r="AK15" s="10"/>
      <c r="AL15" s="54"/>
      <c r="AM15" s="54"/>
    </row>
    <row r="16" spans="1:39" ht="15" customHeight="1" x14ac:dyDescent="0.3">
      <c r="A16" s="106"/>
      <c r="B16" s="36" t="s">
        <v>43</v>
      </c>
      <c r="C16" s="103" t="s">
        <v>199</v>
      </c>
      <c r="D16" s="10"/>
      <c r="E16" s="204">
        <v>5000</v>
      </c>
      <c r="F16" s="207"/>
      <c r="G16" s="208"/>
      <c r="H16" s="209"/>
      <c r="I16" s="54"/>
      <c r="J16" s="18">
        <v>1</v>
      </c>
      <c r="K16" s="22">
        <v>0.2</v>
      </c>
      <c r="L16" s="216" t="s">
        <v>44</v>
      </c>
      <c r="M16" s="216"/>
      <c r="N16" s="216"/>
      <c r="O16" s="216"/>
      <c r="P16" s="216"/>
      <c r="Q16" s="216"/>
      <c r="R16" s="216"/>
      <c r="S16" s="217" t="s">
        <v>82</v>
      </c>
      <c r="T16" s="217"/>
      <c r="U16" s="217"/>
      <c r="V16" s="217"/>
      <c r="W16" s="218"/>
      <c r="X16" s="54"/>
      <c r="Y16" s="319"/>
      <c r="Z16" s="316"/>
      <c r="AA16" s="315"/>
      <c r="AB16" s="311"/>
      <c r="AC16" s="316"/>
      <c r="AD16" s="311"/>
      <c r="AE16" s="311"/>
      <c r="AF16" s="312"/>
      <c r="AG16" s="54"/>
      <c r="AH16" s="54"/>
      <c r="AI16" s="63"/>
      <c r="AJ16" s="10"/>
      <c r="AK16" s="10"/>
      <c r="AL16" s="54"/>
      <c r="AM16" s="54"/>
    </row>
    <row r="17" spans="1:39" ht="15" customHeight="1" x14ac:dyDescent="0.3">
      <c r="A17" s="106"/>
      <c r="B17" s="36" t="s">
        <v>45</v>
      </c>
      <c r="C17" s="103" t="s">
        <v>199</v>
      </c>
      <c r="D17" s="10"/>
      <c r="E17" s="205"/>
      <c r="F17" s="210"/>
      <c r="G17" s="211"/>
      <c r="H17" s="212"/>
      <c r="I17" s="54"/>
      <c r="J17" s="18">
        <v>2</v>
      </c>
      <c r="K17" s="22">
        <v>0.3</v>
      </c>
      <c r="L17" s="216" t="s">
        <v>46</v>
      </c>
      <c r="M17" s="216"/>
      <c r="N17" s="216"/>
      <c r="O17" s="216"/>
      <c r="P17" s="216"/>
      <c r="Q17" s="216"/>
      <c r="R17" s="216"/>
      <c r="S17" s="219" t="s">
        <v>82</v>
      </c>
      <c r="T17" s="219"/>
      <c r="U17" s="219"/>
      <c r="V17" s="219"/>
      <c r="W17" s="220"/>
      <c r="X17" s="54"/>
      <c r="Y17" s="319"/>
      <c r="Z17" s="316"/>
      <c r="AA17" s="315"/>
      <c r="AB17" s="311"/>
      <c r="AC17" s="316"/>
      <c r="AD17" s="311"/>
      <c r="AE17" s="311"/>
      <c r="AF17" s="312"/>
      <c r="AG17" s="54"/>
      <c r="AH17" s="54"/>
      <c r="AI17" s="63"/>
      <c r="AJ17" s="10"/>
      <c r="AK17" s="10"/>
      <c r="AL17" s="54"/>
      <c r="AM17" s="54"/>
    </row>
    <row r="18" spans="1:39" ht="15.75" customHeight="1" thickBot="1" x14ac:dyDescent="0.35">
      <c r="A18" s="106"/>
      <c r="B18" s="37" t="s">
        <v>47</v>
      </c>
      <c r="C18" s="105" t="s">
        <v>200</v>
      </c>
      <c r="D18" s="10"/>
      <c r="E18" s="206"/>
      <c r="F18" s="213"/>
      <c r="G18" s="214"/>
      <c r="H18" s="215"/>
      <c r="I18" s="54"/>
      <c r="J18" s="18">
        <v>3</v>
      </c>
      <c r="K18" s="22">
        <v>0.2</v>
      </c>
      <c r="L18" s="216" t="s">
        <v>48</v>
      </c>
      <c r="M18" s="216"/>
      <c r="N18" s="216"/>
      <c r="O18" s="216"/>
      <c r="P18" s="216"/>
      <c r="Q18" s="216"/>
      <c r="R18" s="216"/>
      <c r="S18" s="219" t="s">
        <v>82</v>
      </c>
      <c r="T18" s="219"/>
      <c r="U18" s="219"/>
      <c r="V18" s="219"/>
      <c r="W18" s="220"/>
      <c r="X18" s="54"/>
      <c r="Y18" s="319"/>
      <c r="Z18" s="316"/>
      <c r="AA18" s="315"/>
      <c r="AB18" s="311"/>
      <c r="AC18" s="316"/>
      <c r="AD18" s="311"/>
      <c r="AE18" s="311"/>
      <c r="AF18" s="312"/>
      <c r="AG18" s="54"/>
      <c r="AH18" s="54"/>
      <c r="AI18" s="63"/>
      <c r="AJ18" s="10"/>
      <c r="AK18" s="10"/>
      <c r="AL18" s="54"/>
      <c r="AM18" s="54"/>
    </row>
    <row r="19" spans="1:39" ht="2.25" customHeight="1" thickBot="1" x14ac:dyDescent="0.35">
      <c r="A19" s="106"/>
      <c r="B19" s="16"/>
      <c r="C19" s="59"/>
      <c r="D19" s="10"/>
      <c r="E19" s="11"/>
      <c r="F19" s="17"/>
      <c r="G19" s="17"/>
      <c r="H19" s="17"/>
      <c r="I19" s="54"/>
      <c r="J19" s="266">
        <v>4</v>
      </c>
      <c r="K19" s="268">
        <v>0.1</v>
      </c>
      <c r="L19" s="270" t="s">
        <v>49</v>
      </c>
      <c r="M19" s="271"/>
      <c r="N19" s="271"/>
      <c r="O19" s="271"/>
      <c r="P19" s="271"/>
      <c r="Q19" s="271"/>
      <c r="R19" s="272"/>
      <c r="S19" s="276" t="s">
        <v>82</v>
      </c>
      <c r="T19" s="277"/>
      <c r="U19" s="277"/>
      <c r="V19" s="277"/>
      <c r="W19" s="278"/>
      <c r="X19" s="54"/>
      <c r="Y19" s="319"/>
      <c r="Z19" s="316"/>
      <c r="AA19" s="315"/>
      <c r="AB19" s="311"/>
      <c r="AC19" s="316"/>
      <c r="AD19" s="311"/>
      <c r="AE19" s="311"/>
      <c r="AF19" s="312"/>
      <c r="AG19" s="54"/>
      <c r="AH19" s="54"/>
      <c r="AI19" s="63"/>
      <c r="AJ19" s="10"/>
      <c r="AK19" s="10"/>
      <c r="AL19" s="54"/>
      <c r="AM19" s="54"/>
    </row>
    <row r="20" spans="1:39" ht="15" customHeight="1" x14ac:dyDescent="0.3">
      <c r="A20" s="54"/>
      <c r="B20" s="249"/>
      <c r="C20" s="250"/>
      <c r="D20" s="250"/>
      <c r="E20" s="250"/>
      <c r="F20" s="250"/>
      <c r="G20" s="250"/>
      <c r="H20" s="251"/>
      <c r="I20" s="54"/>
      <c r="J20" s="267"/>
      <c r="K20" s="269"/>
      <c r="L20" s="273"/>
      <c r="M20" s="274"/>
      <c r="N20" s="274"/>
      <c r="O20" s="274"/>
      <c r="P20" s="274"/>
      <c r="Q20" s="274"/>
      <c r="R20" s="275"/>
      <c r="S20" s="279"/>
      <c r="T20" s="280"/>
      <c r="U20" s="280"/>
      <c r="V20" s="280"/>
      <c r="W20" s="281"/>
      <c r="X20" s="54"/>
      <c r="Y20" s="319"/>
      <c r="Z20" s="316"/>
      <c r="AA20" s="315"/>
      <c r="AB20" s="311"/>
      <c r="AC20" s="316"/>
      <c r="AD20" s="311"/>
      <c r="AE20" s="311"/>
      <c r="AF20" s="312"/>
      <c r="AG20" s="54"/>
      <c r="AH20" s="54"/>
      <c r="AI20" s="63"/>
      <c r="AJ20" s="10"/>
      <c r="AK20" s="10"/>
      <c r="AL20" s="54"/>
      <c r="AM20" s="54"/>
    </row>
    <row r="21" spans="1:39" ht="15.75" customHeight="1" thickBot="1" x14ac:dyDescent="0.35">
      <c r="A21" s="54"/>
      <c r="B21" s="252"/>
      <c r="C21" s="253"/>
      <c r="D21" s="253"/>
      <c r="E21" s="253"/>
      <c r="F21" s="253"/>
      <c r="G21" s="253"/>
      <c r="H21" s="254"/>
      <c r="I21" s="54"/>
      <c r="J21" s="19">
        <v>5</v>
      </c>
      <c r="K21" s="23">
        <v>0.2</v>
      </c>
      <c r="L21" s="255" t="s">
        <v>50</v>
      </c>
      <c r="M21" s="255"/>
      <c r="N21" s="255"/>
      <c r="O21" s="255"/>
      <c r="P21" s="255"/>
      <c r="Q21" s="255"/>
      <c r="R21" s="255"/>
      <c r="S21" s="256" t="s">
        <v>82</v>
      </c>
      <c r="T21" s="256"/>
      <c r="U21" s="256"/>
      <c r="V21" s="256"/>
      <c r="W21" s="257"/>
      <c r="X21" s="54"/>
      <c r="Y21" s="320"/>
      <c r="Z21" s="318"/>
      <c r="AA21" s="317"/>
      <c r="AB21" s="313"/>
      <c r="AC21" s="318"/>
      <c r="AD21" s="313"/>
      <c r="AE21" s="313"/>
      <c r="AF21" s="314"/>
      <c r="AG21" s="54"/>
      <c r="AH21" s="54"/>
      <c r="AI21" s="63"/>
      <c r="AJ21" s="10"/>
      <c r="AK21" s="10"/>
      <c r="AL21" s="54"/>
      <c r="AM21" s="54"/>
    </row>
    <row r="22" spans="1:39" ht="2.25" customHeight="1" thickBot="1" x14ac:dyDescent="0.35">
      <c r="A22" s="54"/>
      <c r="B22" s="2"/>
      <c r="C22" s="54"/>
      <c r="D22" s="10"/>
      <c r="E22" s="8"/>
      <c r="F22" s="14"/>
      <c r="G22" s="14"/>
      <c r="H22" s="106"/>
      <c r="I22" s="106"/>
      <c r="J22" s="106"/>
      <c r="K22" s="106"/>
      <c r="L22" s="106"/>
      <c r="M22" s="106"/>
      <c r="N22" s="106"/>
      <c r="O22" s="106"/>
      <c r="P22" s="106"/>
      <c r="Q22" s="106"/>
      <c r="R22" s="106"/>
      <c r="S22" s="106"/>
      <c r="T22" s="106"/>
      <c r="U22" s="106"/>
      <c r="V22" s="106"/>
      <c r="W22" s="106"/>
      <c r="X22" s="106"/>
      <c r="Y22" s="106"/>
      <c r="Z22" s="106"/>
      <c r="AA22" s="106"/>
      <c r="AB22" s="54"/>
      <c r="AC22" s="54"/>
      <c r="AD22" s="54"/>
      <c r="AE22" s="54"/>
      <c r="AF22" s="54"/>
      <c r="AG22" s="54"/>
      <c r="AH22" s="54"/>
      <c r="AI22" s="63"/>
      <c r="AJ22" s="10"/>
      <c r="AK22" s="10"/>
      <c r="AL22" s="54"/>
      <c r="AM22" s="54"/>
    </row>
    <row r="23" spans="1:39" ht="15" customHeight="1" x14ac:dyDescent="0.3">
      <c r="A23" s="106"/>
      <c r="B23" s="28" t="s">
        <v>51</v>
      </c>
      <c r="C23" s="258" t="s">
        <v>52</v>
      </c>
      <c r="D23" s="259"/>
      <c r="E23" s="260"/>
      <c r="F23" s="29" t="s">
        <v>53</v>
      </c>
      <c r="G23" s="13"/>
      <c r="H23" s="261" t="s">
        <v>54</v>
      </c>
      <c r="I23" s="234"/>
      <c r="J23" s="234"/>
      <c r="K23" s="234"/>
      <c r="L23" s="262" t="s">
        <v>51</v>
      </c>
      <c r="M23" s="262"/>
      <c r="N23" s="262"/>
      <c r="O23" s="234" t="s">
        <v>55</v>
      </c>
      <c r="P23" s="234"/>
      <c r="Q23" s="234"/>
      <c r="R23" s="263" t="s">
        <v>56</v>
      </c>
      <c r="S23" s="264"/>
      <c r="T23" s="264"/>
      <c r="U23" s="264"/>
      <c r="V23" s="264"/>
      <c r="W23" s="264"/>
      <c r="X23" s="264"/>
      <c r="Y23" s="264"/>
      <c r="Z23" s="265"/>
      <c r="AA23" s="54"/>
      <c r="AB23" s="104" t="s">
        <v>57</v>
      </c>
      <c r="AC23" s="101" t="s">
        <v>112</v>
      </c>
      <c r="AD23" s="234" t="s">
        <v>40</v>
      </c>
      <c r="AE23" s="234"/>
      <c r="AF23" s="235"/>
      <c r="AG23" s="54"/>
      <c r="AH23" s="54"/>
      <c r="AI23" s="63"/>
      <c r="AJ23" s="10"/>
      <c r="AK23" s="10"/>
      <c r="AL23" s="54"/>
      <c r="AM23" s="54"/>
    </row>
    <row r="24" spans="1:39" ht="15" customHeight="1" x14ac:dyDescent="0.3">
      <c r="A24" s="106"/>
      <c r="B24" s="89" t="s">
        <v>202</v>
      </c>
      <c r="C24" s="236" t="s">
        <v>203</v>
      </c>
      <c r="D24" s="237"/>
      <c r="E24" s="238"/>
      <c r="F24" s="21" t="s">
        <v>204</v>
      </c>
      <c r="G24" s="70" t="s">
        <v>58</v>
      </c>
      <c r="H24" s="239" t="s">
        <v>58</v>
      </c>
      <c r="I24" s="240"/>
      <c r="J24" s="240"/>
      <c r="K24" s="240"/>
      <c r="L24" s="241" t="s">
        <v>83</v>
      </c>
      <c r="M24" s="242"/>
      <c r="N24" s="243"/>
      <c r="O24" s="241" t="s">
        <v>83</v>
      </c>
      <c r="P24" s="242"/>
      <c r="Q24" s="243"/>
      <c r="R24" s="244" t="s">
        <v>83</v>
      </c>
      <c r="S24" s="245"/>
      <c r="T24" s="245"/>
      <c r="U24" s="245"/>
      <c r="V24" s="245"/>
      <c r="W24" s="245"/>
      <c r="X24" s="245"/>
      <c r="Y24" s="245"/>
      <c r="Z24" s="246"/>
      <c r="AA24" s="69" t="s">
        <v>94</v>
      </c>
      <c r="AB24" s="102" t="s">
        <v>59</v>
      </c>
      <c r="AC24" s="100" t="s">
        <v>169</v>
      </c>
      <c r="AD24" s="247" t="s">
        <v>235</v>
      </c>
      <c r="AE24" s="247"/>
      <c r="AF24" s="248"/>
      <c r="AG24" s="54"/>
      <c r="AH24" s="54"/>
      <c r="AI24" s="63"/>
      <c r="AJ24" s="10"/>
      <c r="AK24" s="10"/>
      <c r="AL24" s="54"/>
      <c r="AM24" s="54"/>
    </row>
    <row r="25" spans="1:39" x14ac:dyDescent="0.3">
      <c r="A25" s="106"/>
      <c r="B25" s="89" t="s">
        <v>339</v>
      </c>
      <c r="C25" s="236" t="s">
        <v>340</v>
      </c>
      <c r="D25" s="237"/>
      <c r="E25" s="238"/>
      <c r="F25" s="21" t="s">
        <v>341</v>
      </c>
      <c r="G25" s="71" t="s">
        <v>4</v>
      </c>
      <c r="H25" s="239" t="s">
        <v>4</v>
      </c>
      <c r="I25" s="240"/>
      <c r="J25" s="240"/>
      <c r="K25" s="240"/>
      <c r="L25" s="241" t="s">
        <v>83</v>
      </c>
      <c r="M25" s="242"/>
      <c r="N25" s="243"/>
      <c r="O25" s="241" t="s">
        <v>83</v>
      </c>
      <c r="P25" s="242"/>
      <c r="Q25" s="243"/>
      <c r="R25" s="244" t="s">
        <v>83</v>
      </c>
      <c r="S25" s="245"/>
      <c r="T25" s="245"/>
      <c r="U25" s="245"/>
      <c r="V25" s="245"/>
      <c r="W25" s="245"/>
      <c r="X25" s="245"/>
      <c r="Y25" s="245"/>
      <c r="Z25" s="246"/>
      <c r="AA25" s="69" t="s">
        <v>95</v>
      </c>
      <c r="AB25" s="102" t="s">
        <v>60</v>
      </c>
      <c r="AC25" s="100" t="s">
        <v>236</v>
      </c>
      <c r="AD25" s="247" t="s">
        <v>350</v>
      </c>
      <c r="AE25" s="247"/>
      <c r="AF25" s="248"/>
      <c r="AG25" s="54"/>
      <c r="AH25" s="54"/>
      <c r="AI25" s="63"/>
      <c r="AJ25" s="10"/>
      <c r="AK25" s="10"/>
      <c r="AL25" s="54"/>
      <c r="AM25" s="54"/>
    </row>
    <row r="26" spans="1:39" x14ac:dyDescent="0.3">
      <c r="A26" s="106"/>
      <c r="B26" s="89" t="s">
        <v>342</v>
      </c>
      <c r="C26" s="236" t="s">
        <v>343</v>
      </c>
      <c r="D26" s="237"/>
      <c r="E26" s="238"/>
      <c r="F26" s="21" t="s">
        <v>344</v>
      </c>
      <c r="G26" s="71" t="s">
        <v>3</v>
      </c>
      <c r="H26" s="239" t="s">
        <v>3</v>
      </c>
      <c r="I26" s="240"/>
      <c r="J26" s="240"/>
      <c r="K26" s="240"/>
      <c r="L26" s="241" t="s">
        <v>83</v>
      </c>
      <c r="M26" s="242"/>
      <c r="N26" s="243"/>
      <c r="O26" s="241" t="s">
        <v>83</v>
      </c>
      <c r="P26" s="242"/>
      <c r="Q26" s="243"/>
      <c r="R26" s="244" t="s">
        <v>83</v>
      </c>
      <c r="S26" s="245"/>
      <c r="T26" s="245"/>
      <c r="U26" s="245"/>
      <c r="V26" s="245"/>
      <c r="W26" s="245"/>
      <c r="X26" s="245"/>
      <c r="Y26" s="245"/>
      <c r="Z26" s="246"/>
      <c r="AA26" s="69" t="s">
        <v>61</v>
      </c>
      <c r="AB26" s="102" t="s">
        <v>61</v>
      </c>
      <c r="AC26" s="100" t="s">
        <v>82</v>
      </c>
      <c r="AD26" s="247"/>
      <c r="AE26" s="247"/>
      <c r="AF26" s="248"/>
      <c r="AG26" s="54"/>
      <c r="AH26" s="54"/>
      <c r="AI26" s="63"/>
      <c r="AJ26" s="10"/>
      <c r="AK26" s="10"/>
      <c r="AL26" s="54"/>
      <c r="AM26" s="54"/>
    </row>
    <row r="27" spans="1:39" x14ac:dyDescent="0.3">
      <c r="A27" s="106"/>
      <c r="B27" s="89" t="s">
        <v>345</v>
      </c>
      <c r="C27" s="236" t="s">
        <v>346</v>
      </c>
      <c r="D27" s="237"/>
      <c r="E27" s="238"/>
      <c r="F27" s="21" t="s">
        <v>347</v>
      </c>
      <c r="G27" s="71" t="s">
        <v>99</v>
      </c>
      <c r="H27" s="239" t="s">
        <v>2</v>
      </c>
      <c r="I27" s="240"/>
      <c r="J27" s="240"/>
      <c r="K27" s="240"/>
      <c r="L27" s="241" t="s">
        <v>83</v>
      </c>
      <c r="M27" s="242"/>
      <c r="N27" s="243"/>
      <c r="O27" s="241" t="s">
        <v>83</v>
      </c>
      <c r="P27" s="242"/>
      <c r="Q27" s="243"/>
      <c r="R27" s="244" t="s">
        <v>83</v>
      </c>
      <c r="S27" s="245"/>
      <c r="T27" s="245"/>
      <c r="U27" s="245"/>
      <c r="V27" s="245"/>
      <c r="W27" s="245"/>
      <c r="X27" s="245"/>
      <c r="Y27" s="245"/>
      <c r="Z27" s="246"/>
      <c r="AA27" s="69" t="s">
        <v>96</v>
      </c>
      <c r="AB27" s="102" t="s">
        <v>62</v>
      </c>
      <c r="AC27" s="100" t="s">
        <v>82</v>
      </c>
      <c r="AD27" s="247" t="s">
        <v>237</v>
      </c>
      <c r="AE27" s="247"/>
      <c r="AF27" s="248"/>
      <c r="AG27" s="54"/>
      <c r="AH27" s="54"/>
      <c r="AI27" s="63"/>
      <c r="AJ27" s="10"/>
      <c r="AK27" s="10"/>
      <c r="AL27" s="54"/>
      <c r="AM27" s="54"/>
    </row>
    <row r="28" spans="1:39" x14ac:dyDescent="0.3">
      <c r="A28" s="106"/>
      <c r="B28" s="89" t="s">
        <v>348</v>
      </c>
      <c r="C28" s="236" t="s">
        <v>349</v>
      </c>
      <c r="D28" s="237"/>
      <c r="E28" s="238"/>
      <c r="F28" s="21" t="s">
        <v>347</v>
      </c>
      <c r="G28" s="71" t="s">
        <v>100</v>
      </c>
      <c r="H28" s="239" t="s">
        <v>63</v>
      </c>
      <c r="I28" s="240"/>
      <c r="J28" s="240"/>
      <c r="K28" s="240"/>
      <c r="L28" s="241" t="s">
        <v>238</v>
      </c>
      <c r="M28" s="242"/>
      <c r="N28" s="243"/>
      <c r="O28" s="241" t="s">
        <v>351</v>
      </c>
      <c r="P28" s="242"/>
      <c r="Q28" s="243"/>
      <c r="R28" s="244" t="s">
        <v>239</v>
      </c>
      <c r="S28" s="245"/>
      <c r="T28" s="245"/>
      <c r="U28" s="245"/>
      <c r="V28" s="245"/>
      <c r="W28" s="245"/>
      <c r="X28" s="245"/>
      <c r="Y28" s="245"/>
      <c r="Z28" s="246"/>
      <c r="AA28" s="69" t="s">
        <v>97</v>
      </c>
      <c r="AB28" s="102" t="s">
        <v>64</v>
      </c>
      <c r="AC28" s="100" t="s">
        <v>82</v>
      </c>
      <c r="AD28" s="247" t="s">
        <v>240</v>
      </c>
      <c r="AE28" s="247"/>
      <c r="AF28" s="248"/>
      <c r="AG28" s="54"/>
      <c r="AH28" s="54"/>
      <c r="AI28" s="63"/>
      <c r="AJ28" s="10"/>
      <c r="AK28" s="10"/>
      <c r="AL28" s="54"/>
      <c r="AM28" s="54"/>
    </row>
    <row r="29" spans="1:39" x14ac:dyDescent="0.3">
      <c r="A29" s="106"/>
      <c r="B29" s="89" t="s">
        <v>205</v>
      </c>
      <c r="C29" s="236" t="s">
        <v>206</v>
      </c>
      <c r="D29" s="237"/>
      <c r="E29" s="238"/>
      <c r="F29" s="21" t="s">
        <v>207</v>
      </c>
      <c r="G29" s="71" t="s">
        <v>101</v>
      </c>
      <c r="H29" s="239" t="s">
        <v>65</v>
      </c>
      <c r="I29" s="240"/>
      <c r="J29" s="240"/>
      <c r="K29" s="240"/>
      <c r="L29" s="241" t="s">
        <v>83</v>
      </c>
      <c r="M29" s="242"/>
      <c r="N29" s="243"/>
      <c r="O29" s="241" t="s">
        <v>83</v>
      </c>
      <c r="P29" s="242"/>
      <c r="Q29" s="243"/>
      <c r="R29" s="244" t="s">
        <v>83</v>
      </c>
      <c r="S29" s="245"/>
      <c r="T29" s="245"/>
      <c r="U29" s="245"/>
      <c r="V29" s="245"/>
      <c r="W29" s="245"/>
      <c r="X29" s="245"/>
      <c r="Y29" s="245"/>
      <c r="Z29" s="246"/>
      <c r="AA29" s="69" t="s">
        <v>66</v>
      </c>
      <c r="AB29" s="102" t="s">
        <v>66</v>
      </c>
      <c r="AC29" s="100" t="s">
        <v>82</v>
      </c>
      <c r="AD29" s="247" t="s">
        <v>240</v>
      </c>
      <c r="AE29" s="247"/>
      <c r="AF29" s="248"/>
      <c r="AG29" s="54"/>
      <c r="AH29" s="54"/>
      <c r="AI29" s="63"/>
      <c r="AJ29" s="10"/>
      <c r="AK29" s="10"/>
      <c r="AL29" s="54"/>
      <c r="AM29" s="54"/>
    </row>
    <row r="30" spans="1:39" ht="15" thickBot="1" x14ac:dyDescent="0.35">
      <c r="A30" s="106"/>
      <c r="B30" s="89" t="s">
        <v>208</v>
      </c>
      <c r="C30" s="236" t="s">
        <v>206</v>
      </c>
      <c r="D30" s="237"/>
      <c r="E30" s="238"/>
      <c r="F30" s="21" t="s">
        <v>207</v>
      </c>
      <c r="G30" s="71" t="s">
        <v>102</v>
      </c>
      <c r="H30" s="239" t="s">
        <v>67</v>
      </c>
      <c r="I30" s="240"/>
      <c r="J30" s="240"/>
      <c r="K30" s="240"/>
      <c r="L30" s="241" t="s">
        <v>83</v>
      </c>
      <c r="M30" s="242"/>
      <c r="N30" s="243"/>
      <c r="O30" s="241" t="s">
        <v>83</v>
      </c>
      <c r="P30" s="242"/>
      <c r="Q30" s="243"/>
      <c r="R30" s="244" t="s">
        <v>83</v>
      </c>
      <c r="S30" s="245"/>
      <c r="T30" s="245"/>
      <c r="U30" s="245"/>
      <c r="V30" s="245"/>
      <c r="W30" s="245"/>
      <c r="X30" s="245"/>
      <c r="Y30" s="245"/>
      <c r="Z30" s="246"/>
      <c r="AA30" s="69" t="s">
        <v>98</v>
      </c>
      <c r="AB30" s="108" t="s">
        <v>68</v>
      </c>
      <c r="AC30" s="84">
        <v>44361</v>
      </c>
      <c r="AD30" s="282"/>
      <c r="AE30" s="282"/>
      <c r="AF30" s="283"/>
      <c r="AG30" s="54"/>
      <c r="AH30" s="54"/>
      <c r="AI30" s="63"/>
      <c r="AJ30" s="10"/>
      <c r="AK30" s="10"/>
      <c r="AL30" s="54"/>
      <c r="AM30" s="54"/>
    </row>
    <row r="31" spans="1:39" ht="15" thickBot="1" x14ac:dyDescent="0.35">
      <c r="A31" s="106"/>
      <c r="B31" s="89" t="s">
        <v>209</v>
      </c>
      <c r="C31" s="236" t="s">
        <v>206</v>
      </c>
      <c r="D31" s="237"/>
      <c r="E31" s="238"/>
      <c r="F31" s="21" t="s">
        <v>207</v>
      </c>
      <c r="G31" s="71" t="s">
        <v>103</v>
      </c>
      <c r="H31" s="239" t="s">
        <v>69</v>
      </c>
      <c r="I31" s="240"/>
      <c r="J31" s="240"/>
      <c r="K31" s="240"/>
      <c r="L31" s="241" t="s">
        <v>83</v>
      </c>
      <c r="M31" s="242"/>
      <c r="N31" s="243"/>
      <c r="O31" s="241" t="s">
        <v>83</v>
      </c>
      <c r="P31" s="242"/>
      <c r="Q31" s="243"/>
      <c r="R31" s="244" t="s">
        <v>83</v>
      </c>
      <c r="S31" s="245"/>
      <c r="T31" s="245"/>
      <c r="U31" s="245"/>
      <c r="V31" s="245"/>
      <c r="W31" s="245"/>
      <c r="X31" s="245"/>
      <c r="Y31" s="245"/>
      <c r="Z31" s="246"/>
      <c r="AA31" s="54"/>
      <c r="AB31" s="289"/>
      <c r="AC31" s="289"/>
      <c r="AD31" s="289"/>
      <c r="AE31" s="289"/>
      <c r="AF31" s="289"/>
      <c r="AG31" s="54"/>
      <c r="AH31" s="54"/>
      <c r="AI31" s="63"/>
      <c r="AJ31" s="10"/>
      <c r="AK31" s="10"/>
      <c r="AL31" s="54"/>
      <c r="AM31" s="54"/>
    </row>
    <row r="32" spans="1:39" x14ac:dyDescent="0.3">
      <c r="A32" s="106"/>
      <c r="B32" s="89" t="s">
        <v>210</v>
      </c>
      <c r="C32" s="236" t="s">
        <v>206</v>
      </c>
      <c r="D32" s="237"/>
      <c r="E32" s="238"/>
      <c r="F32" s="21" t="s">
        <v>207</v>
      </c>
      <c r="G32" s="71" t="s">
        <v>104</v>
      </c>
      <c r="H32" s="239" t="s">
        <v>70</v>
      </c>
      <c r="I32" s="240"/>
      <c r="J32" s="240"/>
      <c r="K32" s="240"/>
      <c r="L32" s="241" t="s">
        <v>83</v>
      </c>
      <c r="M32" s="242"/>
      <c r="N32" s="243"/>
      <c r="O32" s="241" t="s">
        <v>83</v>
      </c>
      <c r="P32" s="242"/>
      <c r="Q32" s="243"/>
      <c r="R32" s="244" t="s">
        <v>83</v>
      </c>
      <c r="S32" s="245"/>
      <c r="T32" s="245"/>
      <c r="U32" s="245"/>
      <c r="V32" s="245"/>
      <c r="W32" s="245"/>
      <c r="X32" s="245"/>
      <c r="Y32" s="245"/>
      <c r="Z32" s="246"/>
      <c r="AA32" s="54"/>
      <c r="AB32" s="30" t="s">
        <v>71</v>
      </c>
      <c r="AC32" s="290" t="s">
        <v>72</v>
      </c>
      <c r="AD32" s="291"/>
      <c r="AE32" s="31"/>
      <c r="AF32" s="32" t="s">
        <v>73</v>
      </c>
      <c r="AG32" s="54"/>
      <c r="AH32" s="54"/>
      <c r="AI32" s="63"/>
      <c r="AJ32" s="10"/>
      <c r="AK32" s="10"/>
      <c r="AL32" s="54"/>
      <c r="AM32" s="54"/>
    </row>
    <row r="33" spans="1:39" x14ac:dyDescent="0.3">
      <c r="A33" s="106"/>
      <c r="B33" s="89" t="s">
        <v>211</v>
      </c>
      <c r="C33" s="236" t="s">
        <v>212</v>
      </c>
      <c r="D33" s="237"/>
      <c r="E33" s="238"/>
      <c r="F33" s="21" t="s">
        <v>207</v>
      </c>
      <c r="G33" s="71" t="s">
        <v>105</v>
      </c>
      <c r="H33" s="284" t="s">
        <v>74</v>
      </c>
      <c r="I33" s="285"/>
      <c r="J33" s="285"/>
      <c r="K33" s="286"/>
      <c r="L33" s="241" t="s">
        <v>83</v>
      </c>
      <c r="M33" s="242"/>
      <c r="N33" s="243"/>
      <c r="O33" s="241" t="s">
        <v>83</v>
      </c>
      <c r="P33" s="242"/>
      <c r="Q33" s="243"/>
      <c r="R33" s="244" t="s">
        <v>83</v>
      </c>
      <c r="S33" s="245"/>
      <c r="T33" s="245"/>
      <c r="U33" s="245"/>
      <c r="V33" s="245"/>
      <c r="W33" s="245"/>
      <c r="X33" s="245"/>
      <c r="Y33" s="245"/>
      <c r="Z33" s="246"/>
      <c r="AA33" s="54"/>
      <c r="AB33" s="24"/>
      <c r="AC33" s="287"/>
      <c r="AD33" s="288"/>
      <c r="AE33" s="106"/>
      <c r="AF33" s="26"/>
      <c r="AG33" s="54"/>
      <c r="AH33" s="54"/>
      <c r="AI33" s="63"/>
      <c r="AJ33" s="10"/>
      <c r="AK33" s="10"/>
      <c r="AL33" s="54"/>
      <c r="AM33" s="54"/>
    </row>
    <row r="34" spans="1:39" x14ac:dyDescent="0.3">
      <c r="A34" s="106"/>
      <c r="B34" s="89" t="s">
        <v>213</v>
      </c>
      <c r="C34" s="236" t="s">
        <v>214</v>
      </c>
      <c r="D34" s="237"/>
      <c r="E34" s="238"/>
      <c r="F34" s="21" t="s">
        <v>207</v>
      </c>
      <c r="G34" s="71" t="s">
        <v>106</v>
      </c>
      <c r="H34" s="239" t="s">
        <v>75</v>
      </c>
      <c r="I34" s="240"/>
      <c r="J34" s="240"/>
      <c r="K34" s="240"/>
      <c r="L34" s="241" t="s">
        <v>83</v>
      </c>
      <c r="M34" s="242"/>
      <c r="N34" s="243"/>
      <c r="O34" s="241"/>
      <c r="P34" s="242"/>
      <c r="Q34" s="243"/>
      <c r="R34" s="244" t="s">
        <v>241</v>
      </c>
      <c r="S34" s="245"/>
      <c r="T34" s="245"/>
      <c r="U34" s="245"/>
      <c r="V34" s="245"/>
      <c r="W34" s="245"/>
      <c r="X34" s="245"/>
      <c r="Y34" s="245"/>
      <c r="Z34" s="246"/>
      <c r="AA34" s="54"/>
      <c r="AB34" s="24"/>
      <c r="AC34" s="287"/>
      <c r="AD34" s="288"/>
      <c r="AE34" s="106"/>
      <c r="AF34" s="26"/>
      <c r="AG34" s="54"/>
      <c r="AH34" s="54"/>
      <c r="AI34" s="63"/>
      <c r="AJ34" s="10"/>
      <c r="AK34" s="10"/>
      <c r="AL34" s="54"/>
      <c r="AM34" s="54"/>
    </row>
    <row r="35" spans="1:39" x14ac:dyDescent="0.3">
      <c r="A35" s="106"/>
      <c r="B35" s="89" t="s">
        <v>215</v>
      </c>
      <c r="C35" s="236" t="s">
        <v>216</v>
      </c>
      <c r="D35" s="237"/>
      <c r="E35" s="238"/>
      <c r="F35" s="21" t="s">
        <v>207</v>
      </c>
      <c r="G35" s="71" t="s">
        <v>5</v>
      </c>
      <c r="H35" s="239" t="s">
        <v>5</v>
      </c>
      <c r="I35" s="240"/>
      <c r="J35" s="240"/>
      <c r="K35" s="240"/>
      <c r="L35" s="241" t="s">
        <v>83</v>
      </c>
      <c r="M35" s="242"/>
      <c r="N35" s="243"/>
      <c r="O35" s="241" t="s">
        <v>83</v>
      </c>
      <c r="P35" s="242"/>
      <c r="Q35" s="243"/>
      <c r="R35" s="244" t="s">
        <v>83</v>
      </c>
      <c r="S35" s="245"/>
      <c r="T35" s="245"/>
      <c r="U35" s="245"/>
      <c r="V35" s="245"/>
      <c r="W35" s="245"/>
      <c r="X35" s="245"/>
      <c r="Y35" s="245"/>
      <c r="Z35" s="246"/>
      <c r="AA35" s="54"/>
      <c r="AB35" s="24"/>
      <c r="AC35" s="287"/>
      <c r="AD35" s="288"/>
      <c r="AE35" s="106"/>
      <c r="AF35" s="26"/>
      <c r="AG35" s="54"/>
      <c r="AH35" s="54"/>
      <c r="AI35" s="63"/>
      <c r="AJ35" s="10"/>
      <c r="AK35" s="10"/>
      <c r="AL35" s="54"/>
      <c r="AM35" s="54"/>
    </row>
    <row r="36" spans="1:39" x14ac:dyDescent="0.3">
      <c r="A36" s="106"/>
      <c r="B36" s="89" t="s">
        <v>217</v>
      </c>
      <c r="C36" s="236" t="s">
        <v>206</v>
      </c>
      <c r="D36" s="237"/>
      <c r="E36" s="238"/>
      <c r="F36" s="21" t="s">
        <v>207</v>
      </c>
      <c r="G36" s="71" t="s">
        <v>107</v>
      </c>
      <c r="H36" s="239" t="s">
        <v>76</v>
      </c>
      <c r="I36" s="240"/>
      <c r="J36" s="240"/>
      <c r="K36" s="240"/>
      <c r="L36" s="241" t="s">
        <v>83</v>
      </c>
      <c r="M36" s="242"/>
      <c r="N36" s="243"/>
      <c r="O36" s="241" t="s">
        <v>83</v>
      </c>
      <c r="P36" s="242"/>
      <c r="Q36" s="243"/>
      <c r="R36" s="244" t="s">
        <v>83</v>
      </c>
      <c r="S36" s="245"/>
      <c r="T36" s="245"/>
      <c r="U36" s="245"/>
      <c r="V36" s="245"/>
      <c r="W36" s="245"/>
      <c r="X36" s="245"/>
      <c r="Y36" s="245"/>
      <c r="Z36" s="246"/>
      <c r="AA36" s="54"/>
      <c r="AB36" s="24"/>
      <c r="AC36" s="287"/>
      <c r="AD36" s="288"/>
      <c r="AE36" s="106"/>
      <c r="AF36" s="26"/>
      <c r="AG36" s="54"/>
      <c r="AH36" s="54"/>
      <c r="AI36" s="63"/>
      <c r="AJ36" s="10"/>
      <c r="AK36" s="10"/>
      <c r="AL36" s="54"/>
      <c r="AM36" s="54"/>
    </row>
    <row r="37" spans="1:39" x14ac:dyDescent="0.3">
      <c r="A37" s="106"/>
      <c r="B37" s="89" t="s">
        <v>218</v>
      </c>
      <c r="C37" s="236" t="s">
        <v>206</v>
      </c>
      <c r="D37" s="237"/>
      <c r="E37" s="238"/>
      <c r="F37" s="21" t="s">
        <v>207</v>
      </c>
      <c r="G37" s="71" t="s">
        <v>108</v>
      </c>
      <c r="H37" s="239" t="s">
        <v>77</v>
      </c>
      <c r="I37" s="240"/>
      <c r="J37" s="240"/>
      <c r="K37" s="240"/>
      <c r="L37" s="241" t="s">
        <v>83</v>
      </c>
      <c r="M37" s="242"/>
      <c r="N37" s="243"/>
      <c r="O37" s="241" t="s">
        <v>83</v>
      </c>
      <c r="P37" s="242"/>
      <c r="Q37" s="243"/>
      <c r="R37" s="244" t="s">
        <v>83</v>
      </c>
      <c r="S37" s="245"/>
      <c r="T37" s="245"/>
      <c r="U37" s="245"/>
      <c r="V37" s="245"/>
      <c r="W37" s="245"/>
      <c r="X37" s="245"/>
      <c r="Y37" s="245"/>
      <c r="Z37" s="246"/>
      <c r="AA37" s="54"/>
      <c r="AB37" s="24"/>
      <c r="AC37" s="287"/>
      <c r="AD37" s="288"/>
      <c r="AE37" s="106"/>
      <c r="AF37" s="26"/>
      <c r="AG37" s="54"/>
      <c r="AH37" s="54"/>
      <c r="AI37" s="63"/>
      <c r="AJ37" s="10"/>
      <c r="AK37" s="10"/>
      <c r="AL37" s="54"/>
      <c r="AM37" s="54"/>
    </row>
    <row r="38" spans="1:39" x14ac:dyDescent="0.3">
      <c r="A38" s="106"/>
      <c r="B38" s="89" t="s">
        <v>219</v>
      </c>
      <c r="C38" s="236" t="s">
        <v>220</v>
      </c>
      <c r="D38" s="237"/>
      <c r="E38" s="238"/>
      <c r="F38" s="21" t="s">
        <v>207</v>
      </c>
      <c r="G38" s="71" t="s">
        <v>109</v>
      </c>
      <c r="H38" s="239" t="s">
        <v>78</v>
      </c>
      <c r="I38" s="240"/>
      <c r="J38" s="240"/>
      <c r="K38" s="240"/>
      <c r="L38" s="241" t="s">
        <v>83</v>
      </c>
      <c r="M38" s="242"/>
      <c r="N38" s="243"/>
      <c r="O38" s="241" t="s">
        <v>83</v>
      </c>
      <c r="P38" s="242"/>
      <c r="Q38" s="243"/>
      <c r="R38" s="244" t="s">
        <v>83</v>
      </c>
      <c r="S38" s="245"/>
      <c r="T38" s="245"/>
      <c r="U38" s="245"/>
      <c r="V38" s="245"/>
      <c r="W38" s="245"/>
      <c r="X38" s="245"/>
      <c r="Y38" s="245"/>
      <c r="Z38" s="246"/>
      <c r="AA38" s="54"/>
      <c r="AB38" s="24"/>
      <c r="AC38" s="287"/>
      <c r="AD38" s="288"/>
      <c r="AE38" s="106"/>
      <c r="AF38" s="26"/>
      <c r="AG38" s="54"/>
      <c r="AH38" s="54"/>
      <c r="AI38" s="63"/>
      <c r="AJ38" s="10"/>
      <c r="AK38" s="10"/>
      <c r="AL38" s="54"/>
      <c r="AM38" s="54"/>
    </row>
    <row r="39" spans="1:39" ht="15" thickBot="1" x14ac:dyDescent="0.35">
      <c r="A39" s="106"/>
      <c r="B39" s="89" t="s">
        <v>221</v>
      </c>
      <c r="C39" s="236" t="s">
        <v>222</v>
      </c>
      <c r="D39" s="237"/>
      <c r="E39" s="238"/>
      <c r="F39" s="21" t="s">
        <v>207</v>
      </c>
      <c r="G39" s="71" t="s">
        <v>79</v>
      </c>
      <c r="H39" s="239" t="s">
        <v>79</v>
      </c>
      <c r="I39" s="240"/>
      <c r="J39" s="240"/>
      <c r="K39" s="240"/>
      <c r="L39" s="241" t="s">
        <v>83</v>
      </c>
      <c r="M39" s="242"/>
      <c r="N39" s="243"/>
      <c r="O39" s="241" t="s">
        <v>83</v>
      </c>
      <c r="P39" s="242"/>
      <c r="Q39" s="243"/>
      <c r="R39" s="244" t="s">
        <v>83</v>
      </c>
      <c r="S39" s="245"/>
      <c r="T39" s="245"/>
      <c r="U39" s="245"/>
      <c r="V39" s="245"/>
      <c r="W39" s="245"/>
      <c r="X39" s="245"/>
      <c r="Y39" s="245"/>
      <c r="Z39" s="246"/>
      <c r="AA39" s="54"/>
      <c r="AB39" s="25"/>
      <c r="AC39" s="321"/>
      <c r="AD39" s="322"/>
      <c r="AE39" s="106"/>
      <c r="AF39" s="27"/>
      <c r="AG39" s="54"/>
      <c r="AH39" s="54"/>
      <c r="AI39" s="63"/>
      <c r="AJ39" s="10"/>
      <c r="AK39" s="10"/>
      <c r="AL39" s="54"/>
      <c r="AM39" s="54"/>
    </row>
    <row r="40" spans="1:39" x14ac:dyDescent="0.3">
      <c r="A40" s="106"/>
      <c r="B40" s="89" t="s">
        <v>223</v>
      </c>
      <c r="C40" s="236" t="s">
        <v>224</v>
      </c>
      <c r="D40" s="237"/>
      <c r="E40" s="238"/>
      <c r="F40" s="21" t="s">
        <v>207</v>
      </c>
      <c r="G40" s="71" t="s">
        <v>110</v>
      </c>
      <c r="H40" s="239" t="s">
        <v>80</v>
      </c>
      <c r="I40" s="240"/>
      <c r="J40" s="240"/>
      <c r="K40" s="240"/>
      <c r="L40" s="241" t="s">
        <v>83</v>
      </c>
      <c r="M40" s="242"/>
      <c r="N40" s="243"/>
      <c r="O40" s="241" t="s">
        <v>83</v>
      </c>
      <c r="P40" s="242"/>
      <c r="Q40" s="243"/>
      <c r="R40" s="244" t="s">
        <v>83</v>
      </c>
      <c r="S40" s="245"/>
      <c r="T40" s="245"/>
      <c r="U40" s="245"/>
      <c r="V40" s="245"/>
      <c r="W40" s="245"/>
      <c r="X40" s="245"/>
      <c r="Y40" s="245"/>
      <c r="Z40" s="246"/>
      <c r="AA40" s="54"/>
      <c r="AB40" s="106"/>
      <c r="AC40" s="106"/>
      <c r="AD40" s="106"/>
      <c r="AE40" s="106"/>
      <c r="AF40" s="106"/>
      <c r="AG40" s="54"/>
      <c r="AH40" s="54"/>
      <c r="AI40" s="63"/>
      <c r="AJ40" s="10"/>
      <c r="AK40" s="10"/>
      <c r="AL40" s="54"/>
      <c r="AM40" s="54"/>
    </row>
    <row r="41" spans="1:39" x14ac:dyDescent="0.3">
      <c r="A41" s="106"/>
      <c r="B41" s="89" t="s">
        <v>225</v>
      </c>
      <c r="C41" s="236" t="s">
        <v>226</v>
      </c>
      <c r="D41" s="237"/>
      <c r="E41" s="238"/>
      <c r="F41" s="21" t="s">
        <v>207</v>
      </c>
      <c r="G41" s="71" t="s">
        <v>111</v>
      </c>
      <c r="H41" s="239" t="s">
        <v>81</v>
      </c>
      <c r="I41" s="240"/>
      <c r="J41" s="240"/>
      <c r="K41" s="240"/>
      <c r="L41" s="241" t="s">
        <v>238</v>
      </c>
      <c r="M41" s="242"/>
      <c r="N41" s="243"/>
      <c r="O41" s="241" t="s">
        <v>351</v>
      </c>
      <c r="P41" s="242"/>
      <c r="Q41" s="243"/>
      <c r="R41" s="244" t="s">
        <v>242</v>
      </c>
      <c r="S41" s="245"/>
      <c r="T41" s="245"/>
      <c r="U41" s="245"/>
      <c r="V41" s="245"/>
      <c r="W41" s="245"/>
      <c r="X41" s="245"/>
      <c r="Y41" s="245"/>
      <c r="Z41" s="246"/>
      <c r="AA41" s="54"/>
      <c r="AB41" s="106"/>
      <c r="AC41" s="106"/>
      <c r="AD41" s="106"/>
      <c r="AE41" s="106"/>
      <c r="AF41" s="106"/>
      <c r="AG41" s="54"/>
      <c r="AH41" s="54"/>
      <c r="AI41" s="63"/>
      <c r="AJ41" s="10"/>
      <c r="AK41" s="10"/>
      <c r="AL41" s="54"/>
      <c r="AM41" s="54"/>
    </row>
    <row r="42" spans="1:39" x14ac:dyDescent="0.3">
      <c r="A42" s="106"/>
      <c r="B42" s="89" t="s">
        <v>227</v>
      </c>
      <c r="C42" s="236" t="s">
        <v>224</v>
      </c>
      <c r="D42" s="237"/>
      <c r="E42" s="238"/>
      <c r="F42" s="21" t="s">
        <v>207</v>
      </c>
      <c r="G42" s="71" t="s">
        <v>14</v>
      </c>
      <c r="H42" s="239" t="s">
        <v>88</v>
      </c>
      <c r="I42" s="240"/>
      <c r="J42" s="240"/>
      <c r="K42" s="240"/>
      <c r="L42" s="241"/>
      <c r="M42" s="242"/>
      <c r="N42" s="243"/>
      <c r="O42" s="241"/>
      <c r="P42" s="242"/>
      <c r="Q42" s="243"/>
      <c r="R42" s="244"/>
      <c r="S42" s="245"/>
      <c r="T42" s="245"/>
      <c r="U42" s="245"/>
      <c r="V42" s="245"/>
      <c r="W42" s="245"/>
      <c r="X42" s="245"/>
      <c r="Y42" s="245"/>
      <c r="Z42" s="246"/>
      <c r="AA42" s="54"/>
      <c r="AB42" s="106"/>
      <c r="AC42" s="106"/>
      <c r="AD42" s="106"/>
      <c r="AE42" s="106"/>
      <c r="AF42" s="106"/>
      <c r="AG42" s="54"/>
      <c r="AH42" s="54"/>
      <c r="AI42" s="63"/>
      <c r="AJ42" s="10"/>
      <c r="AK42" s="10"/>
      <c r="AL42" s="54"/>
      <c r="AM42" s="54"/>
    </row>
    <row r="43" spans="1:39" ht="15" thickBot="1" x14ac:dyDescent="0.35">
      <c r="A43" s="106"/>
      <c r="B43" s="90"/>
      <c r="C43" s="292"/>
      <c r="D43" s="293"/>
      <c r="E43" s="294"/>
      <c r="F43" s="60"/>
      <c r="G43" s="54"/>
      <c r="H43" s="295"/>
      <c r="I43" s="296"/>
      <c r="J43" s="296"/>
      <c r="K43" s="296"/>
      <c r="L43" s="297"/>
      <c r="M43" s="298"/>
      <c r="N43" s="299"/>
      <c r="O43" s="300"/>
      <c r="P43" s="301"/>
      <c r="Q43" s="302"/>
      <c r="R43" s="303"/>
      <c r="S43" s="304"/>
      <c r="T43" s="304"/>
      <c r="U43" s="304"/>
      <c r="V43" s="304"/>
      <c r="W43" s="304"/>
      <c r="X43" s="304"/>
      <c r="Y43" s="304"/>
      <c r="Z43" s="305"/>
      <c r="AA43" s="54"/>
      <c r="AB43" s="106"/>
      <c r="AC43" s="106"/>
      <c r="AD43" s="106"/>
      <c r="AE43" s="106"/>
      <c r="AF43" s="106"/>
      <c r="AG43" s="54"/>
      <c r="AH43" s="54"/>
      <c r="AI43" s="63"/>
      <c r="AJ43" s="10"/>
      <c r="AK43" s="10"/>
      <c r="AL43" s="54"/>
      <c r="AM43" s="54"/>
    </row>
    <row r="44" spans="1:39" ht="15" customHeight="1" x14ac:dyDescent="0.3">
      <c r="A44" s="106"/>
      <c r="B44" s="15"/>
      <c r="C44" s="106"/>
      <c r="D44" s="106"/>
      <c r="E44" s="15"/>
      <c r="F44" s="106"/>
      <c r="G44" s="54"/>
      <c r="H44" s="106"/>
      <c r="I44" s="106"/>
      <c r="J44" s="106"/>
      <c r="K44" s="106"/>
      <c r="L44" s="106"/>
      <c r="M44" s="106"/>
      <c r="N44" s="106"/>
      <c r="O44" s="106"/>
      <c r="P44" s="106"/>
      <c r="Q44" s="106"/>
      <c r="R44" s="106"/>
      <c r="S44" s="106"/>
      <c r="T44" s="106"/>
      <c r="U44" s="106"/>
      <c r="V44" s="106"/>
      <c r="W44" s="106"/>
      <c r="X44" s="106"/>
      <c r="Y44" s="106"/>
      <c r="Z44" s="106"/>
      <c r="AA44" s="54"/>
      <c r="AB44" s="106"/>
      <c r="AC44" s="106"/>
      <c r="AD44" s="106"/>
      <c r="AE44" s="106"/>
      <c r="AF44" s="106"/>
      <c r="AG44" s="54"/>
      <c r="AH44" s="54"/>
      <c r="AI44" s="63"/>
      <c r="AJ44" s="10"/>
      <c r="AK44" s="10"/>
      <c r="AL44" s="54"/>
      <c r="AM44" s="54"/>
    </row>
    <row r="45" spans="1:39" ht="15" customHeight="1" x14ac:dyDescent="0.3">
      <c r="A45" s="54"/>
      <c r="B45" s="2"/>
      <c r="C45" s="54"/>
      <c r="D45" s="54"/>
      <c r="E45" s="2"/>
      <c r="F45" s="54"/>
      <c r="G45" s="54"/>
      <c r="H45" s="106"/>
      <c r="I45" s="106"/>
      <c r="J45" s="106"/>
      <c r="K45" s="106"/>
      <c r="L45" s="106"/>
      <c r="M45" s="106"/>
      <c r="N45" s="106"/>
      <c r="O45" s="106"/>
      <c r="P45" s="106"/>
      <c r="Q45" s="106"/>
      <c r="R45" s="106"/>
      <c r="S45" s="106"/>
      <c r="T45" s="106"/>
      <c r="U45" s="106"/>
      <c r="V45" s="106"/>
      <c r="W45" s="106"/>
      <c r="X45" s="106"/>
      <c r="Y45" s="106"/>
      <c r="Z45" s="106"/>
      <c r="AA45" s="54"/>
      <c r="AB45" s="106"/>
      <c r="AC45" s="106"/>
      <c r="AD45" s="106"/>
      <c r="AE45" s="106"/>
      <c r="AF45" s="106"/>
      <c r="AG45" s="54"/>
      <c r="AH45" s="54"/>
      <c r="AI45" s="63"/>
      <c r="AJ45" s="10"/>
      <c r="AK45" s="10"/>
      <c r="AL45" s="54"/>
      <c r="AM45" s="54"/>
    </row>
    <row r="46" spans="1:39" ht="15" customHeight="1" x14ac:dyDescent="0.3">
      <c r="A46" s="54"/>
      <c r="B46" s="2"/>
      <c r="C46" s="54"/>
      <c r="D46" s="54"/>
      <c r="E46" s="2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63"/>
      <c r="AJ46" s="10"/>
      <c r="AK46" s="10"/>
      <c r="AL46" s="54"/>
      <c r="AM46" s="54"/>
    </row>
    <row r="47" spans="1:39" ht="15" customHeight="1" x14ac:dyDescent="0.3">
      <c r="A47" s="54"/>
      <c r="B47" s="2"/>
      <c r="C47" s="54"/>
      <c r="D47" s="54"/>
      <c r="E47" s="2"/>
      <c r="F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63"/>
      <c r="AJ47" s="10"/>
      <c r="AK47" s="10"/>
      <c r="AL47" s="54"/>
      <c r="AM47" s="54"/>
    </row>
    <row r="48" spans="1:39" ht="15" customHeight="1" x14ac:dyDescent="0.3"/>
    <row r="49" ht="15" customHeight="1" x14ac:dyDescent="0.3"/>
    <row r="50" ht="15" customHeight="1" x14ac:dyDescent="0.3"/>
  </sheetData>
  <mergeCells count="203">
    <mergeCell ref="V3:W3"/>
    <mergeCell ref="H4:H5"/>
    <mergeCell ref="E7:E8"/>
    <mergeCell ref="F7:F8"/>
    <mergeCell ref="G7:I8"/>
    <mergeCell ref="J7:Q7"/>
    <mergeCell ref="R7:W7"/>
    <mergeCell ref="J8:K8"/>
    <mergeCell ref="L8:M8"/>
    <mergeCell ref="N8:O8"/>
    <mergeCell ref="H2:H3"/>
    <mergeCell ref="J2:Q2"/>
    <mergeCell ref="R2:W2"/>
    <mergeCell ref="J3:K3"/>
    <mergeCell ref="L3:M3"/>
    <mergeCell ref="N3:O3"/>
    <mergeCell ref="P3:Q3"/>
    <mergeCell ref="R3:S3"/>
    <mergeCell ref="T3:U3"/>
    <mergeCell ref="P8:Q8"/>
    <mergeCell ref="R8:S8"/>
    <mergeCell ref="T8:U8"/>
    <mergeCell ref="V8:W8"/>
    <mergeCell ref="G9:I9"/>
    <mergeCell ref="J9:K9"/>
    <mergeCell ref="L9:M9"/>
    <mergeCell ref="N9:O9"/>
    <mergeCell ref="P9:Q9"/>
    <mergeCell ref="R9:S9"/>
    <mergeCell ref="T9:U9"/>
    <mergeCell ref="V9:W9"/>
    <mergeCell ref="G10:I10"/>
    <mergeCell ref="J10:K10"/>
    <mergeCell ref="L10:M10"/>
    <mergeCell ref="N10:O10"/>
    <mergeCell ref="P10:Q10"/>
    <mergeCell ref="R10:S10"/>
    <mergeCell ref="T10:U10"/>
    <mergeCell ref="V10:W10"/>
    <mergeCell ref="Y13:Z13"/>
    <mergeCell ref="AA13:AC13"/>
    <mergeCell ref="AD13:AF13"/>
    <mergeCell ref="Y14:Z21"/>
    <mergeCell ref="AA14:AC21"/>
    <mergeCell ref="AD14:AF21"/>
    <mergeCell ref="T11:U11"/>
    <mergeCell ref="V11:W11"/>
    <mergeCell ref="G13:I13"/>
    <mergeCell ref="J13:K13"/>
    <mergeCell ref="L13:M13"/>
    <mergeCell ref="N13:O13"/>
    <mergeCell ref="P13:Q13"/>
    <mergeCell ref="R13:S13"/>
    <mergeCell ref="T13:U13"/>
    <mergeCell ref="V13:W13"/>
    <mergeCell ref="G11:I11"/>
    <mergeCell ref="J11:K11"/>
    <mergeCell ref="L11:M11"/>
    <mergeCell ref="N11:O11"/>
    <mergeCell ref="P11:Q11"/>
    <mergeCell ref="R11:S11"/>
    <mergeCell ref="Y2:AF11"/>
    <mergeCell ref="S18:W18"/>
    <mergeCell ref="J19:J20"/>
    <mergeCell ref="K19:K20"/>
    <mergeCell ref="L19:R20"/>
    <mergeCell ref="S19:W20"/>
    <mergeCell ref="B20:H21"/>
    <mergeCell ref="L21:R21"/>
    <mergeCell ref="S21:W21"/>
    <mergeCell ref="F15:H15"/>
    <mergeCell ref="J15:R15"/>
    <mergeCell ref="S15:W15"/>
    <mergeCell ref="E16:E18"/>
    <mergeCell ref="F16:H18"/>
    <mergeCell ref="L16:R16"/>
    <mergeCell ref="S16:W16"/>
    <mergeCell ref="L17:R17"/>
    <mergeCell ref="S17:W17"/>
    <mergeCell ref="L18:R18"/>
    <mergeCell ref="C24:E24"/>
    <mergeCell ref="H24:K24"/>
    <mergeCell ref="L24:N24"/>
    <mergeCell ref="O24:Q24"/>
    <mergeCell ref="R24:Z24"/>
    <mergeCell ref="AD24:AF24"/>
    <mergeCell ref="C23:E23"/>
    <mergeCell ref="H23:K23"/>
    <mergeCell ref="L23:N23"/>
    <mergeCell ref="O23:Q23"/>
    <mergeCell ref="R23:Z23"/>
    <mergeCell ref="AD23:AF23"/>
    <mergeCell ref="C26:E26"/>
    <mergeCell ref="H26:K26"/>
    <mergeCell ref="L26:N26"/>
    <mergeCell ref="O26:Q26"/>
    <mergeCell ref="R26:Z26"/>
    <mergeCell ref="AD26:AF26"/>
    <mergeCell ref="C25:E25"/>
    <mergeCell ref="H25:K25"/>
    <mergeCell ref="L25:N25"/>
    <mergeCell ref="O25:Q25"/>
    <mergeCell ref="R25:Z25"/>
    <mergeCell ref="AD25:AF25"/>
    <mergeCell ref="C28:E28"/>
    <mergeCell ref="H28:K28"/>
    <mergeCell ref="L28:N28"/>
    <mergeCell ref="O28:Q28"/>
    <mergeCell ref="R28:Z28"/>
    <mergeCell ref="AD28:AF28"/>
    <mergeCell ref="C27:E27"/>
    <mergeCell ref="H27:K27"/>
    <mergeCell ref="L27:N27"/>
    <mergeCell ref="O27:Q27"/>
    <mergeCell ref="R27:Z27"/>
    <mergeCell ref="AD27:AF27"/>
    <mergeCell ref="C30:E30"/>
    <mergeCell ref="H30:K30"/>
    <mergeCell ref="L30:N30"/>
    <mergeCell ref="O30:Q30"/>
    <mergeCell ref="R30:Z30"/>
    <mergeCell ref="AD30:AF30"/>
    <mergeCell ref="C29:E29"/>
    <mergeCell ref="H29:K29"/>
    <mergeCell ref="L29:N29"/>
    <mergeCell ref="O29:Q29"/>
    <mergeCell ref="R29:Z29"/>
    <mergeCell ref="AD29:AF29"/>
    <mergeCell ref="C33:E33"/>
    <mergeCell ref="H33:K33"/>
    <mergeCell ref="L33:N33"/>
    <mergeCell ref="O33:Q33"/>
    <mergeCell ref="R33:Z33"/>
    <mergeCell ref="AC33:AD33"/>
    <mergeCell ref="AD31:AF31"/>
    <mergeCell ref="C32:E32"/>
    <mergeCell ref="H32:K32"/>
    <mergeCell ref="L32:N32"/>
    <mergeCell ref="O32:Q32"/>
    <mergeCell ref="R32:Z32"/>
    <mergeCell ref="AC32:AD32"/>
    <mergeCell ref="C31:E31"/>
    <mergeCell ref="H31:K31"/>
    <mergeCell ref="L31:N31"/>
    <mergeCell ref="O31:Q31"/>
    <mergeCell ref="R31:Z31"/>
    <mergeCell ref="AB31:AC31"/>
    <mergeCell ref="C35:E35"/>
    <mergeCell ref="H35:K35"/>
    <mergeCell ref="L35:N35"/>
    <mergeCell ref="O35:Q35"/>
    <mergeCell ref="R35:Z35"/>
    <mergeCell ref="AC35:AD35"/>
    <mergeCell ref="C34:E34"/>
    <mergeCell ref="H34:K34"/>
    <mergeCell ref="L34:N34"/>
    <mergeCell ref="O34:Q34"/>
    <mergeCell ref="R34:Z34"/>
    <mergeCell ref="AC34:AD34"/>
    <mergeCell ref="C37:E37"/>
    <mergeCell ref="H37:K37"/>
    <mergeCell ref="L37:N37"/>
    <mergeCell ref="O37:Q37"/>
    <mergeCell ref="R37:Z37"/>
    <mergeCell ref="AC37:AD37"/>
    <mergeCell ref="C36:E36"/>
    <mergeCell ref="H36:K36"/>
    <mergeCell ref="L36:N36"/>
    <mergeCell ref="O36:Q36"/>
    <mergeCell ref="R36:Z36"/>
    <mergeCell ref="AC36:AD36"/>
    <mergeCell ref="C39:E39"/>
    <mergeCell ref="H39:K39"/>
    <mergeCell ref="L39:N39"/>
    <mergeCell ref="O39:Q39"/>
    <mergeCell ref="R39:Z39"/>
    <mergeCell ref="AC39:AD39"/>
    <mergeCell ref="C38:E38"/>
    <mergeCell ref="H38:K38"/>
    <mergeCell ref="L38:N38"/>
    <mergeCell ref="O38:Q38"/>
    <mergeCell ref="R38:Z38"/>
    <mergeCell ref="AC38:AD38"/>
    <mergeCell ref="C40:E40"/>
    <mergeCell ref="H40:K40"/>
    <mergeCell ref="L40:N40"/>
    <mergeCell ref="O40:Q40"/>
    <mergeCell ref="R40:Z40"/>
    <mergeCell ref="C41:E41"/>
    <mergeCell ref="H41:K41"/>
    <mergeCell ref="L41:N41"/>
    <mergeCell ref="O41:Q41"/>
    <mergeCell ref="R41:Z41"/>
    <mergeCell ref="C42:E42"/>
    <mergeCell ref="H42:K42"/>
    <mergeCell ref="L42:N42"/>
    <mergeCell ref="O42:Q42"/>
    <mergeCell ref="R42:Z42"/>
    <mergeCell ref="C43:E43"/>
    <mergeCell ref="H43:K43"/>
    <mergeCell ref="L43:N43"/>
    <mergeCell ref="O43:Q43"/>
    <mergeCell ref="R43:Z43"/>
  </mergeCells>
  <conditionalFormatting sqref="F3:F5">
    <cfRule type="cellIs" dxfId="71" priority="10" operator="greaterThan">
      <formula>0.895</formula>
    </cfRule>
    <cfRule type="cellIs" dxfId="70" priority="11" operator="greaterThan">
      <formula>0.845</formula>
    </cfRule>
    <cfRule type="cellIs" dxfId="69" priority="12" operator="lessThan">
      <formula>0.85</formula>
    </cfRule>
  </conditionalFormatting>
  <conditionalFormatting sqref="H4:H5">
    <cfRule type="cellIs" dxfId="68" priority="8" operator="equal">
      <formula>"↓"</formula>
    </cfRule>
    <cfRule type="cellIs" dxfId="67" priority="9" operator="equal">
      <formula>"↑"</formula>
    </cfRule>
  </conditionalFormatting>
  <conditionalFormatting sqref="S16:W21">
    <cfRule type="expression" dxfId="66" priority="7">
      <formula>AND(ISNUMBER(S16),S16&lt;TODAY())</formula>
    </cfRule>
  </conditionalFormatting>
  <conditionalFormatting sqref="G10:W10">
    <cfRule type="cellIs" dxfId="65" priority="6" operator="greaterThan">
      <formula>G9</formula>
    </cfRule>
  </conditionalFormatting>
  <conditionalFormatting sqref="G11:W11">
    <cfRule type="cellIs" dxfId="64" priority="5" operator="greaterThan">
      <formula>0</formula>
    </cfRule>
  </conditionalFormatting>
  <conditionalFormatting sqref="O24:O43">
    <cfRule type="expression" dxfId="63" priority="4">
      <formula>OR(NOT(ISERROR(SEARCH("COMPLETE",O24))),NOT(ISERROR(SEARCH("RELEASED",O24))))</formula>
    </cfRule>
  </conditionalFormatting>
  <conditionalFormatting sqref="O24:Q43">
    <cfRule type="expression" dxfId="62" priority="3">
      <formula>NOT(ISERROR(SEARCH("ECO",O24)))</formula>
    </cfRule>
  </conditionalFormatting>
  <conditionalFormatting sqref="F24:F43">
    <cfRule type="expression" dxfId="61" priority="1">
      <formula>AND($F24&gt;0,DATEVALUE(RIGHT($F24,2)&amp;"-"&amp;MID($F24,6,3)&amp;"-"&amp;LEFT($F24,4))&lt;TODAY())</formula>
    </cfRule>
    <cfRule type="expression" dxfId="60" priority="2">
      <formula>AND($F24&gt;0,DATEVALUE(RIGHT($F24,2)&amp;"-"&amp;MID($F24,6,3)&amp;"-"&amp;LEFT($F24+$A$28,4))&lt;TODAY()+7)</formula>
    </cfRule>
  </conditionalFormatting>
  <pageMargins left="0.7" right="0.7" top="0.75" bottom="0.75" header="0.3" footer="0.3"/>
  <pageSetup scale="59" orientation="portrait" verticalDpi="0" r:id="rId1"/>
  <colBreaks count="1" manualBreakCount="1">
    <brk id="11" max="42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Current">
                <anchor moveWithCells="1">
                  <from>
                    <xdr:col>37</xdr:col>
                    <xdr:colOff>297180</xdr:colOff>
                    <xdr:row>0</xdr:row>
                    <xdr:rowOff>0</xdr:rowOff>
                  </from>
                  <to>
                    <xdr:col>38</xdr:col>
                    <xdr:colOff>601980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24B57-DAED-43E1-9966-2F1D16716E6F}">
  <sheetPr codeName="Sheet4"/>
  <dimension ref="A1:AM50"/>
  <sheetViews>
    <sheetView showGridLines="0" zoomScaleNormal="100" workbookViewId="0">
      <selection activeCell="C18" sqref="C18"/>
    </sheetView>
  </sheetViews>
  <sheetFormatPr defaultRowHeight="14.4" x14ac:dyDescent="0.3"/>
  <cols>
    <col min="1" max="1" width="0.44140625" customWidth="1"/>
    <col min="2" max="2" width="15.88671875" customWidth="1"/>
    <col min="3" max="3" width="15.33203125" customWidth="1"/>
    <col min="4" max="4" width="0.6640625" customWidth="1"/>
    <col min="5" max="5" width="12.88671875" customWidth="1"/>
    <col min="6" max="6" width="16" customWidth="1"/>
    <col min="7" max="7" width="0.5546875" customWidth="1"/>
    <col min="8" max="8" width="12.88671875" customWidth="1"/>
    <col min="9" max="9" width="0.5546875" customWidth="1"/>
    <col min="10" max="10" width="4" bestFit="1" customWidth="1"/>
    <col min="11" max="11" width="4.5546875" bestFit="1" customWidth="1"/>
    <col min="12" max="12" width="5" bestFit="1" customWidth="1"/>
    <col min="13" max="13" width="4.44140625" bestFit="1" customWidth="1"/>
    <col min="14" max="14" width="3.5546875" bestFit="1" customWidth="1"/>
    <col min="15" max="15" width="4.44140625" bestFit="1" customWidth="1"/>
    <col min="16" max="16" width="3.5546875" bestFit="1" customWidth="1"/>
    <col min="17" max="17" width="4.44140625" bestFit="1" customWidth="1"/>
    <col min="18" max="18" width="4" bestFit="1" customWidth="1"/>
    <col min="19" max="19" width="4.44140625" bestFit="1" customWidth="1"/>
    <col min="20" max="20" width="4" bestFit="1" customWidth="1"/>
    <col min="21" max="21" width="4.44140625" bestFit="1" customWidth="1"/>
    <col min="22" max="22" width="4" bestFit="1" customWidth="1"/>
    <col min="23" max="23" width="4.44140625" bestFit="1" customWidth="1"/>
    <col min="24" max="24" width="0.6640625" customWidth="1"/>
    <col min="25" max="25" width="13.6640625" customWidth="1"/>
    <col min="26" max="26" width="9.44140625" customWidth="1"/>
    <col min="27" max="27" width="0.5546875" customWidth="1"/>
    <col min="28" max="28" width="12.5546875" customWidth="1"/>
    <col min="29" max="30" width="11.44140625" customWidth="1"/>
    <col min="31" max="31" width="0.88671875" customWidth="1"/>
    <col min="32" max="32" width="12.88671875" customWidth="1"/>
    <col min="35" max="35" width="12.5546875" style="64" customWidth="1"/>
    <col min="36" max="37" width="9.109375" style="65"/>
  </cols>
  <sheetData>
    <row r="1" spans="1:39" ht="2.25" customHeight="1" thickBot="1" x14ac:dyDescent="0.35">
      <c r="A1" s="31" t="s">
        <v>130</v>
      </c>
      <c r="B1" s="15"/>
      <c r="C1" s="106"/>
      <c r="D1" s="54"/>
      <c r="E1" s="2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63" t="s">
        <v>115</v>
      </c>
      <c r="AJ1" s="10" t="s">
        <v>30</v>
      </c>
      <c r="AK1" s="10" t="s">
        <v>29</v>
      </c>
      <c r="AL1" s="54"/>
      <c r="AM1" s="54"/>
    </row>
    <row r="2" spans="1:39" ht="15.75" customHeight="1" thickBot="1" x14ac:dyDescent="0.35">
      <c r="A2" s="106"/>
      <c r="B2" s="107" t="s">
        <v>1</v>
      </c>
      <c r="C2" s="72" t="s">
        <v>120</v>
      </c>
      <c r="D2" s="54"/>
      <c r="E2" s="99" t="s">
        <v>92</v>
      </c>
      <c r="F2" s="62">
        <v>44349</v>
      </c>
      <c r="G2" s="1"/>
      <c r="H2" s="163" t="s">
        <v>8</v>
      </c>
      <c r="I2" s="1"/>
      <c r="J2" s="164" t="s">
        <v>9</v>
      </c>
      <c r="K2" s="164"/>
      <c r="L2" s="164"/>
      <c r="M2" s="164"/>
      <c r="N2" s="164"/>
      <c r="O2" s="164"/>
      <c r="P2" s="164"/>
      <c r="Q2" s="164"/>
      <c r="R2" s="165" t="s">
        <v>10</v>
      </c>
      <c r="S2" s="165"/>
      <c r="T2" s="165"/>
      <c r="U2" s="165"/>
      <c r="V2" s="165"/>
      <c r="W2" s="166"/>
      <c r="X2" s="54"/>
      <c r="Y2" s="167"/>
      <c r="Z2" s="167"/>
      <c r="AA2" s="167"/>
      <c r="AB2" s="167"/>
      <c r="AC2" s="167"/>
      <c r="AD2" s="167"/>
      <c r="AE2" s="167"/>
      <c r="AF2" s="168"/>
      <c r="AG2" s="54"/>
      <c r="AH2" s="54"/>
      <c r="AI2" s="63">
        <v>44313</v>
      </c>
      <c r="AJ2" s="10">
        <v>0.33</v>
      </c>
      <c r="AK2" s="10"/>
      <c r="AL2" s="54"/>
      <c r="AM2" s="54"/>
    </row>
    <row r="3" spans="1:39" ht="15" customHeight="1" thickBot="1" x14ac:dyDescent="0.35">
      <c r="A3" s="106"/>
      <c r="B3" s="33" t="s">
        <v>11</v>
      </c>
      <c r="C3" s="73" t="s">
        <v>121</v>
      </c>
      <c r="D3" s="54"/>
      <c r="E3" s="33" t="s">
        <v>93</v>
      </c>
      <c r="F3" s="85">
        <v>0.9</v>
      </c>
      <c r="G3" s="1"/>
      <c r="H3" s="163"/>
      <c r="I3" s="1"/>
      <c r="J3" s="171" t="s">
        <v>12</v>
      </c>
      <c r="K3" s="171"/>
      <c r="L3" s="171" t="s">
        <v>13</v>
      </c>
      <c r="M3" s="171"/>
      <c r="N3" s="171" t="s">
        <v>14</v>
      </c>
      <c r="O3" s="172"/>
      <c r="P3" s="171" t="s">
        <v>6</v>
      </c>
      <c r="Q3" s="171"/>
      <c r="R3" s="171" t="s">
        <v>12</v>
      </c>
      <c r="S3" s="171"/>
      <c r="T3" s="171" t="s">
        <v>13</v>
      </c>
      <c r="U3" s="172"/>
      <c r="V3" s="171" t="s">
        <v>6</v>
      </c>
      <c r="W3" s="173"/>
      <c r="X3" s="54"/>
      <c r="Y3" s="167"/>
      <c r="Z3" s="167"/>
      <c r="AA3" s="167"/>
      <c r="AB3" s="167"/>
      <c r="AC3" s="167"/>
      <c r="AD3" s="167"/>
      <c r="AE3" s="167"/>
      <c r="AF3" s="168"/>
      <c r="AG3" s="54"/>
      <c r="AH3" s="54"/>
      <c r="AI3" s="63">
        <v>44349</v>
      </c>
      <c r="AJ3" s="10">
        <v>1</v>
      </c>
      <c r="AK3" s="10"/>
      <c r="AL3" s="54"/>
      <c r="AM3" s="54"/>
    </row>
    <row r="4" spans="1:39" ht="15" customHeight="1" thickBot="1" x14ac:dyDescent="0.35">
      <c r="A4" s="106"/>
      <c r="B4" s="34" t="s">
        <v>15</v>
      </c>
      <c r="C4" s="74">
        <v>431774</v>
      </c>
      <c r="D4" s="54"/>
      <c r="E4" s="33" t="s">
        <v>116</v>
      </c>
      <c r="F4" s="86">
        <v>0.9</v>
      </c>
      <c r="G4" s="1"/>
      <c r="H4" s="174" t="str">
        <f>IF(VALUE(LEFT(F10,FIND("(",F10)-1))/VALUE(LEFT(F13,FIND("(",F13)-1))&gt;1.2,"↑",IF(VALUE(LEFT(F10,FIND("(",F10)-1))/VALUE(LEFT(F13,FIND("(",F13)-1))&lt;0.8,"↓","🗘"))</f>
        <v>↓</v>
      </c>
      <c r="I4" s="1"/>
      <c r="J4" s="3" t="s">
        <v>16</v>
      </c>
      <c r="K4" s="4" t="s">
        <v>17</v>
      </c>
      <c r="L4" s="3" t="s">
        <v>16</v>
      </c>
      <c r="M4" s="5" t="s">
        <v>17</v>
      </c>
      <c r="N4" s="3" t="s">
        <v>16</v>
      </c>
      <c r="O4" s="4" t="s">
        <v>17</v>
      </c>
      <c r="P4" s="3" t="s">
        <v>16</v>
      </c>
      <c r="Q4" s="5" t="s">
        <v>17</v>
      </c>
      <c r="R4" s="6" t="s">
        <v>16</v>
      </c>
      <c r="S4" s="4" t="s">
        <v>17</v>
      </c>
      <c r="T4" s="7" t="s">
        <v>16</v>
      </c>
      <c r="U4" s="5" t="s">
        <v>17</v>
      </c>
      <c r="V4" s="6" t="s">
        <v>16</v>
      </c>
      <c r="W4" s="4" t="s">
        <v>17</v>
      </c>
      <c r="X4" s="54"/>
      <c r="Y4" s="167"/>
      <c r="Z4" s="167"/>
      <c r="AA4" s="167"/>
      <c r="AB4" s="167"/>
      <c r="AC4" s="167"/>
      <c r="AD4" s="167"/>
      <c r="AE4" s="167"/>
      <c r="AF4" s="168"/>
      <c r="AG4" s="54"/>
      <c r="AI4" s="63"/>
      <c r="AJ4" s="10"/>
      <c r="AK4" s="10"/>
      <c r="AL4" s="54"/>
      <c r="AM4" s="54"/>
    </row>
    <row r="5" spans="1:39" ht="15.75" customHeight="1" thickBot="1" x14ac:dyDescent="0.35">
      <c r="A5" s="106"/>
      <c r="B5" s="35" t="s">
        <v>19</v>
      </c>
      <c r="C5" s="75" t="s">
        <v>122</v>
      </c>
      <c r="D5" s="54"/>
      <c r="E5" s="35" t="s">
        <v>91</v>
      </c>
      <c r="F5" s="87">
        <v>0.9</v>
      </c>
      <c r="G5" s="1"/>
      <c r="H5" s="175"/>
      <c r="I5" s="1"/>
      <c r="J5" s="38">
        <v>942</v>
      </c>
      <c r="K5" s="39">
        <v>0</v>
      </c>
      <c r="L5" s="40">
        <v>2074</v>
      </c>
      <c r="M5" s="41">
        <v>0</v>
      </c>
      <c r="N5" s="40">
        <v>0</v>
      </c>
      <c r="O5" s="42">
        <v>0</v>
      </c>
      <c r="P5" s="38">
        <v>0</v>
      </c>
      <c r="Q5" s="43">
        <v>0</v>
      </c>
      <c r="R5" s="44">
        <v>464</v>
      </c>
      <c r="S5" s="45">
        <v>0</v>
      </c>
      <c r="T5" s="46">
        <v>686</v>
      </c>
      <c r="U5" s="47">
        <v>0</v>
      </c>
      <c r="V5" s="44">
        <v>186</v>
      </c>
      <c r="W5" s="45">
        <v>14</v>
      </c>
      <c r="X5" s="54"/>
      <c r="Y5" s="167"/>
      <c r="Z5" s="167"/>
      <c r="AA5" s="167"/>
      <c r="AB5" s="167"/>
      <c r="AC5" s="167"/>
      <c r="AD5" s="167"/>
      <c r="AE5" s="167"/>
      <c r="AF5" s="168"/>
      <c r="AG5" s="54"/>
      <c r="AH5" s="54"/>
      <c r="AI5" s="63"/>
      <c r="AJ5" s="10"/>
      <c r="AK5" s="10"/>
      <c r="AL5" s="54"/>
      <c r="AM5" s="54"/>
    </row>
    <row r="6" spans="1:39" ht="3.75" customHeight="1" thickBot="1" x14ac:dyDescent="0.35">
      <c r="A6" s="106"/>
      <c r="B6" s="15"/>
      <c r="C6" s="76"/>
      <c r="D6" s="8"/>
      <c r="E6" s="2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167"/>
      <c r="Z6" s="167"/>
      <c r="AA6" s="167"/>
      <c r="AB6" s="167"/>
      <c r="AC6" s="167"/>
      <c r="AD6" s="167"/>
      <c r="AE6" s="167"/>
      <c r="AF6" s="168"/>
      <c r="AG6" s="54"/>
      <c r="AH6" s="54"/>
      <c r="AI6" s="63"/>
      <c r="AJ6" s="10"/>
      <c r="AK6" s="10"/>
      <c r="AL6" s="54"/>
      <c r="AM6" s="54"/>
    </row>
    <row r="7" spans="1:39" ht="15.75" customHeight="1" thickBot="1" x14ac:dyDescent="0.35">
      <c r="A7" s="106"/>
      <c r="B7" s="104" t="s">
        <v>22</v>
      </c>
      <c r="C7" s="77">
        <v>3881218</v>
      </c>
      <c r="D7" s="9"/>
      <c r="E7" s="186" t="s">
        <v>23</v>
      </c>
      <c r="F7" s="187" t="s">
        <v>24</v>
      </c>
      <c r="G7" s="188" t="s">
        <v>0</v>
      </c>
      <c r="H7" s="188"/>
      <c r="I7" s="188"/>
      <c r="J7" s="189" t="s">
        <v>9</v>
      </c>
      <c r="K7" s="189"/>
      <c r="L7" s="189"/>
      <c r="M7" s="189"/>
      <c r="N7" s="189"/>
      <c r="O7" s="189"/>
      <c r="P7" s="189"/>
      <c r="Q7" s="189"/>
      <c r="R7" s="165" t="s">
        <v>10</v>
      </c>
      <c r="S7" s="190"/>
      <c r="T7" s="190"/>
      <c r="U7" s="190"/>
      <c r="V7" s="190"/>
      <c r="W7" s="191"/>
      <c r="X7" s="54"/>
      <c r="Y7" s="167"/>
      <c r="Z7" s="167"/>
      <c r="AA7" s="167"/>
      <c r="AB7" s="167"/>
      <c r="AC7" s="167"/>
      <c r="AD7" s="167"/>
      <c r="AE7" s="167"/>
      <c r="AF7" s="168"/>
      <c r="AG7" s="54"/>
      <c r="AH7" s="54"/>
      <c r="AI7" s="63"/>
      <c r="AJ7" s="10"/>
      <c r="AK7" s="10"/>
      <c r="AL7" s="54"/>
      <c r="AM7" s="54"/>
    </row>
    <row r="8" spans="1:39" ht="15.75" customHeight="1" thickBot="1" x14ac:dyDescent="0.35">
      <c r="A8" s="106"/>
      <c r="B8" s="36" t="s">
        <v>25</v>
      </c>
      <c r="C8" s="78" t="s">
        <v>26</v>
      </c>
      <c r="D8" s="9"/>
      <c r="E8" s="186"/>
      <c r="F8" s="187"/>
      <c r="G8" s="188"/>
      <c r="H8" s="188"/>
      <c r="I8" s="188"/>
      <c r="J8" s="192" t="s">
        <v>12</v>
      </c>
      <c r="K8" s="192"/>
      <c r="L8" s="192" t="s">
        <v>13</v>
      </c>
      <c r="M8" s="171"/>
      <c r="N8" s="192" t="s">
        <v>14</v>
      </c>
      <c r="O8" s="172"/>
      <c r="P8" s="192" t="s">
        <v>6</v>
      </c>
      <c r="Q8" s="171"/>
      <c r="R8" s="192" t="s">
        <v>12</v>
      </c>
      <c r="S8" s="173"/>
      <c r="T8" s="192" t="s">
        <v>13</v>
      </c>
      <c r="U8" s="173"/>
      <c r="V8" s="192" t="s">
        <v>6</v>
      </c>
      <c r="W8" s="172"/>
      <c r="X8" s="54"/>
      <c r="Y8" s="167"/>
      <c r="Z8" s="167"/>
      <c r="AA8" s="167"/>
      <c r="AB8" s="167"/>
      <c r="AC8" s="167"/>
      <c r="AD8" s="167"/>
      <c r="AE8" s="167"/>
      <c r="AF8" s="168"/>
      <c r="AG8" s="54"/>
      <c r="AH8" s="54"/>
      <c r="AI8" s="63"/>
      <c r="AJ8" s="10"/>
      <c r="AK8" s="10"/>
      <c r="AL8" s="54"/>
      <c r="AM8" s="54"/>
    </row>
    <row r="9" spans="1:39" ht="15.75" customHeight="1" thickBot="1" x14ac:dyDescent="0.35">
      <c r="A9" s="106"/>
      <c r="B9" s="36" t="s">
        <v>28</v>
      </c>
      <c r="C9" s="78">
        <v>43691</v>
      </c>
      <c r="D9" s="9"/>
      <c r="E9" s="51" t="s">
        <v>29</v>
      </c>
      <c r="F9" s="48" t="s">
        <v>352</v>
      </c>
      <c r="G9" s="176"/>
      <c r="H9" s="176"/>
      <c r="I9" s="176"/>
      <c r="J9" s="177">
        <v>1398</v>
      </c>
      <c r="K9" s="177"/>
      <c r="L9" s="177">
        <v>850</v>
      </c>
      <c r="M9" s="178"/>
      <c r="N9" s="177">
        <v>200</v>
      </c>
      <c r="O9" s="179"/>
      <c r="P9" s="177">
        <v>150</v>
      </c>
      <c r="Q9" s="178"/>
      <c r="R9" s="177">
        <v>700</v>
      </c>
      <c r="S9" s="179"/>
      <c r="T9" s="177">
        <v>590</v>
      </c>
      <c r="U9" s="180"/>
      <c r="V9" s="177">
        <v>200</v>
      </c>
      <c r="W9" s="179"/>
      <c r="X9" s="54"/>
      <c r="Y9" s="167"/>
      <c r="Z9" s="167"/>
      <c r="AA9" s="167"/>
      <c r="AB9" s="167"/>
      <c r="AC9" s="167"/>
      <c r="AD9" s="167"/>
      <c r="AE9" s="167"/>
      <c r="AF9" s="168"/>
      <c r="AG9" s="54"/>
      <c r="AH9" s="54"/>
      <c r="AI9" s="63"/>
      <c r="AJ9" s="10"/>
      <c r="AK9" s="10"/>
      <c r="AL9" s="54"/>
      <c r="AM9" s="54"/>
    </row>
    <row r="10" spans="1:39" ht="15.75" customHeight="1" thickBot="1" x14ac:dyDescent="0.35">
      <c r="A10" s="106"/>
      <c r="B10" s="36" t="s">
        <v>7</v>
      </c>
      <c r="C10" s="78">
        <v>44256</v>
      </c>
      <c r="D10" s="9"/>
      <c r="E10" s="51" t="s">
        <v>86</v>
      </c>
      <c r="F10" s="49" t="s">
        <v>353</v>
      </c>
      <c r="G10" s="181">
        <v>1590737</v>
      </c>
      <c r="H10" s="181"/>
      <c r="I10" s="181"/>
      <c r="J10" s="182">
        <f>SUM(J5:K5)</f>
        <v>942</v>
      </c>
      <c r="K10" s="182"/>
      <c r="L10" s="183">
        <f>SUM(L5:M5)</f>
        <v>2074</v>
      </c>
      <c r="M10" s="184"/>
      <c r="N10" s="183">
        <f>SUM(N5:O5)</f>
        <v>0</v>
      </c>
      <c r="O10" s="185"/>
      <c r="P10" s="182">
        <f>SUM(P5:Q5)</f>
        <v>0</v>
      </c>
      <c r="Q10" s="193"/>
      <c r="R10" s="182">
        <f>SUM(R5:S5)</f>
        <v>464</v>
      </c>
      <c r="S10" s="194"/>
      <c r="T10" s="182">
        <f>SUM(T5:U5)</f>
        <v>686</v>
      </c>
      <c r="U10" s="195"/>
      <c r="V10" s="182">
        <f>SUM(V5:W5)</f>
        <v>200</v>
      </c>
      <c r="W10" s="194"/>
      <c r="X10" s="54"/>
      <c r="Y10" s="167"/>
      <c r="Z10" s="167"/>
      <c r="AA10" s="167"/>
      <c r="AB10" s="167"/>
      <c r="AC10" s="167"/>
      <c r="AD10" s="167"/>
      <c r="AE10" s="167"/>
      <c r="AF10" s="168"/>
      <c r="AG10" s="54"/>
      <c r="AH10" s="54"/>
      <c r="AI10" s="63"/>
      <c r="AJ10" s="10"/>
      <c r="AK10" s="10"/>
      <c r="AL10" s="54"/>
      <c r="AM10" s="54"/>
    </row>
    <row r="11" spans="1:39" ht="15.75" customHeight="1" thickBot="1" x14ac:dyDescent="0.35">
      <c r="A11" s="106"/>
      <c r="B11" s="37" t="s">
        <v>32</v>
      </c>
      <c r="C11" s="79">
        <v>44286</v>
      </c>
      <c r="D11" s="9"/>
      <c r="E11" s="52" t="s">
        <v>84</v>
      </c>
      <c r="F11" s="88">
        <f>VALUE(LEFT(F9,FIND("(",F9)-1))-VALUE(LEFT(F10,FIND("(",F10)-1))</f>
        <v>1632597</v>
      </c>
      <c r="G11" s="196">
        <f>G9-G10</f>
        <v>-1590737</v>
      </c>
      <c r="H11" s="196"/>
      <c r="I11" s="196"/>
      <c r="J11" s="197">
        <f>J9-J10</f>
        <v>456</v>
      </c>
      <c r="K11" s="197"/>
      <c r="L11" s="198">
        <f>L9-L10</f>
        <v>-1224</v>
      </c>
      <c r="M11" s="199"/>
      <c r="N11" s="200">
        <f>N9-N10</f>
        <v>200</v>
      </c>
      <c r="O11" s="201"/>
      <c r="P11" s="197">
        <f>P9-P10</f>
        <v>150</v>
      </c>
      <c r="Q11" s="202"/>
      <c r="R11" s="200">
        <f>R9-R10</f>
        <v>236</v>
      </c>
      <c r="S11" s="201"/>
      <c r="T11" s="200">
        <f>T9-T10</f>
        <v>-96</v>
      </c>
      <c r="U11" s="203"/>
      <c r="V11" s="200">
        <f>V9-V10</f>
        <v>0</v>
      </c>
      <c r="W11" s="201"/>
      <c r="X11" s="54"/>
      <c r="Y11" s="169"/>
      <c r="Z11" s="169"/>
      <c r="AA11" s="169"/>
      <c r="AB11" s="169"/>
      <c r="AC11" s="169"/>
      <c r="AD11" s="169"/>
      <c r="AE11" s="169"/>
      <c r="AF11" s="170"/>
      <c r="AG11" s="54"/>
      <c r="AH11" s="54"/>
      <c r="AI11" s="63"/>
      <c r="AJ11" s="10"/>
      <c r="AK11" s="10"/>
      <c r="AL11" s="54"/>
      <c r="AM11" s="54"/>
    </row>
    <row r="12" spans="1:39" ht="3" customHeight="1" thickBot="1" x14ac:dyDescent="0.35">
      <c r="A12" s="106"/>
      <c r="B12" s="15"/>
      <c r="C12" s="80"/>
      <c r="D12" s="54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63"/>
      <c r="AJ12" s="10"/>
      <c r="AK12" s="10"/>
      <c r="AL12" s="54"/>
      <c r="AM12" s="54"/>
    </row>
    <row r="13" spans="1:39" ht="15.75" customHeight="1" thickBot="1" x14ac:dyDescent="0.35">
      <c r="A13" s="106"/>
      <c r="B13" s="104" t="s">
        <v>33</v>
      </c>
      <c r="C13" s="81" t="s">
        <v>123</v>
      </c>
      <c r="D13" s="54"/>
      <c r="E13" s="109" t="s">
        <v>35</v>
      </c>
      <c r="F13" s="50" t="s">
        <v>131</v>
      </c>
      <c r="G13" s="232">
        <v>1588077</v>
      </c>
      <c r="H13" s="232"/>
      <c r="I13" s="232"/>
      <c r="J13" s="223">
        <v>942</v>
      </c>
      <c r="K13" s="223"/>
      <c r="L13" s="233">
        <v>2074</v>
      </c>
      <c r="M13" s="233"/>
      <c r="N13" s="223">
        <v>0</v>
      </c>
      <c r="O13" s="224"/>
      <c r="P13" s="223">
        <v>0</v>
      </c>
      <c r="Q13" s="233"/>
      <c r="R13" s="223">
        <v>464</v>
      </c>
      <c r="S13" s="224"/>
      <c r="T13" s="221">
        <v>686</v>
      </c>
      <c r="U13" s="222"/>
      <c r="V13" s="223">
        <v>200</v>
      </c>
      <c r="W13" s="224"/>
      <c r="X13" s="54"/>
      <c r="Y13" s="309" t="s">
        <v>117</v>
      </c>
      <c r="Z13" s="308"/>
      <c r="AA13" s="306" t="s">
        <v>118</v>
      </c>
      <c r="AB13" s="307"/>
      <c r="AC13" s="308"/>
      <c r="AD13" s="307" t="s">
        <v>119</v>
      </c>
      <c r="AE13" s="307"/>
      <c r="AF13" s="310"/>
      <c r="AG13" s="54"/>
      <c r="AH13" s="54"/>
      <c r="AI13" s="63"/>
      <c r="AJ13" s="10"/>
      <c r="AK13" s="10"/>
      <c r="AL13" s="54"/>
      <c r="AM13" s="54"/>
    </row>
    <row r="14" spans="1:39" ht="15.75" customHeight="1" thickBot="1" x14ac:dyDescent="0.35">
      <c r="A14" s="106"/>
      <c r="B14" s="36" t="s">
        <v>37</v>
      </c>
      <c r="C14" s="103" t="s">
        <v>124</v>
      </c>
      <c r="D14" s="54"/>
      <c r="E14" s="2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319" t="s">
        <v>129</v>
      </c>
      <c r="Z14" s="316"/>
      <c r="AA14" s="315"/>
      <c r="AB14" s="311"/>
      <c r="AC14" s="316"/>
      <c r="AD14" s="311"/>
      <c r="AE14" s="311"/>
      <c r="AF14" s="312"/>
      <c r="AG14" s="54"/>
      <c r="AH14" s="54"/>
      <c r="AI14" s="63"/>
      <c r="AJ14" s="10"/>
      <c r="AK14" s="10"/>
      <c r="AL14" s="54"/>
      <c r="AM14" s="54"/>
    </row>
    <row r="15" spans="1:39" ht="15" customHeight="1" x14ac:dyDescent="0.3">
      <c r="A15" s="106"/>
      <c r="B15" s="36" t="s">
        <v>38</v>
      </c>
      <c r="C15" s="103" t="s">
        <v>125</v>
      </c>
      <c r="D15" s="10"/>
      <c r="E15" s="107" t="s">
        <v>39</v>
      </c>
      <c r="F15" s="225" t="s">
        <v>40</v>
      </c>
      <c r="G15" s="226"/>
      <c r="H15" s="227"/>
      <c r="I15" s="54"/>
      <c r="J15" s="228" t="s">
        <v>41</v>
      </c>
      <c r="K15" s="229"/>
      <c r="L15" s="229"/>
      <c r="M15" s="229"/>
      <c r="N15" s="229"/>
      <c r="O15" s="229"/>
      <c r="P15" s="229"/>
      <c r="Q15" s="229"/>
      <c r="R15" s="229"/>
      <c r="S15" s="230" t="s">
        <v>42</v>
      </c>
      <c r="T15" s="230"/>
      <c r="U15" s="230"/>
      <c r="V15" s="230"/>
      <c r="W15" s="231"/>
      <c r="X15" s="54"/>
      <c r="Y15" s="319"/>
      <c r="Z15" s="316"/>
      <c r="AA15" s="315"/>
      <c r="AB15" s="311"/>
      <c r="AC15" s="316"/>
      <c r="AD15" s="311"/>
      <c r="AE15" s="311"/>
      <c r="AF15" s="312"/>
      <c r="AG15" s="63"/>
      <c r="AH15" s="54"/>
      <c r="AI15" s="63"/>
      <c r="AJ15" s="10"/>
      <c r="AK15" s="10"/>
      <c r="AL15" s="54"/>
      <c r="AM15" s="54"/>
    </row>
    <row r="16" spans="1:39" ht="15" customHeight="1" x14ac:dyDescent="0.3">
      <c r="A16" s="106"/>
      <c r="B16" s="36" t="s">
        <v>43</v>
      </c>
      <c r="C16" s="103" t="s">
        <v>126</v>
      </c>
      <c r="D16" s="10"/>
      <c r="E16" s="204">
        <v>124000</v>
      </c>
      <c r="F16" s="207"/>
      <c r="G16" s="208"/>
      <c r="H16" s="209"/>
      <c r="I16" s="54"/>
      <c r="J16" s="18">
        <v>1</v>
      </c>
      <c r="K16" s="22">
        <v>0.2</v>
      </c>
      <c r="L16" s="216" t="s">
        <v>44</v>
      </c>
      <c r="M16" s="216"/>
      <c r="N16" s="216"/>
      <c r="O16" s="216"/>
      <c r="P16" s="216"/>
      <c r="Q16" s="216"/>
      <c r="R16" s="216"/>
      <c r="S16" s="217" t="s">
        <v>82</v>
      </c>
      <c r="T16" s="217"/>
      <c r="U16" s="217"/>
      <c r="V16" s="217"/>
      <c r="W16" s="218"/>
      <c r="X16" s="54"/>
      <c r="Y16" s="319"/>
      <c r="Z16" s="316"/>
      <c r="AA16" s="315"/>
      <c r="AB16" s="311"/>
      <c r="AC16" s="316"/>
      <c r="AD16" s="311"/>
      <c r="AE16" s="311"/>
      <c r="AF16" s="312"/>
      <c r="AG16" s="54"/>
      <c r="AH16" s="54"/>
      <c r="AI16" s="63"/>
      <c r="AJ16" s="10"/>
      <c r="AK16" s="10"/>
      <c r="AL16" s="54"/>
      <c r="AM16" s="54"/>
    </row>
    <row r="17" spans="1:39" ht="15" customHeight="1" x14ac:dyDescent="0.3">
      <c r="A17" s="106"/>
      <c r="B17" s="36" t="s">
        <v>45</v>
      </c>
      <c r="C17" s="103" t="s">
        <v>127</v>
      </c>
      <c r="D17" s="10"/>
      <c r="E17" s="205"/>
      <c r="F17" s="210"/>
      <c r="G17" s="211"/>
      <c r="H17" s="212"/>
      <c r="I17" s="54"/>
      <c r="J17" s="18">
        <v>2</v>
      </c>
      <c r="K17" s="22">
        <v>0.3</v>
      </c>
      <c r="L17" s="216" t="s">
        <v>46</v>
      </c>
      <c r="M17" s="216"/>
      <c r="N17" s="216"/>
      <c r="O17" s="216"/>
      <c r="P17" s="216"/>
      <c r="Q17" s="216"/>
      <c r="R17" s="216"/>
      <c r="S17" s="219" t="s">
        <v>82</v>
      </c>
      <c r="T17" s="219"/>
      <c r="U17" s="219"/>
      <c r="V17" s="219"/>
      <c r="W17" s="220"/>
      <c r="X17" s="54"/>
      <c r="Y17" s="319"/>
      <c r="Z17" s="316"/>
      <c r="AA17" s="315"/>
      <c r="AB17" s="311"/>
      <c r="AC17" s="316"/>
      <c r="AD17" s="311"/>
      <c r="AE17" s="311"/>
      <c r="AF17" s="312"/>
      <c r="AG17" s="54"/>
      <c r="AH17" s="54"/>
      <c r="AI17" s="63"/>
      <c r="AJ17" s="10"/>
      <c r="AK17" s="10"/>
      <c r="AL17" s="54"/>
      <c r="AM17" s="54"/>
    </row>
    <row r="18" spans="1:39" ht="15.75" customHeight="1" thickBot="1" x14ac:dyDescent="0.35">
      <c r="A18" s="106"/>
      <c r="B18" s="37" t="s">
        <v>47</v>
      </c>
      <c r="C18" s="105" t="s">
        <v>128</v>
      </c>
      <c r="D18" s="10"/>
      <c r="E18" s="206"/>
      <c r="F18" s="213"/>
      <c r="G18" s="214"/>
      <c r="H18" s="215"/>
      <c r="I18" s="54"/>
      <c r="J18" s="18">
        <v>3</v>
      </c>
      <c r="K18" s="22">
        <v>0.2</v>
      </c>
      <c r="L18" s="216" t="s">
        <v>48</v>
      </c>
      <c r="M18" s="216"/>
      <c r="N18" s="216"/>
      <c r="O18" s="216"/>
      <c r="P18" s="216"/>
      <c r="Q18" s="216"/>
      <c r="R18" s="216"/>
      <c r="S18" s="219" t="s">
        <v>82</v>
      </c>
      <c r="T18" s="219"/>
      <c r="U18" s="219"/>
      <c r="V18" s="219"/>
      <c r="W18" s="220"/>
      <c r="X18" s="54"/>
      <c r="Y18" s="319"/>
      <c r="Z18" s="316"/>
      <c r="AA18" s="315"/>
      <c r="AB18" s="311"/>
      <c r="AC18" s="316"/>
      <c r="AD18" s="311"/>
      <c r="AE18" s="311"/>
      <c r="AF18" s="312"/>
      <c r="AG18" s="54"/>
      <c r="AH18" s="54"/>
      <c r="AI18" s="63"/>
      <c r="AJ18" s="10"/>
      <c r="AK18" s="10"/>
      <c r="AL18" s="54"/>
      <c r="AM18" s="54"/>
    </row>
    <row r="19" spans="1:39" ht="2.25" customHeight="1" thickBot="1" x14ac:dyDescent="0.35">
      <c r="A19" s="106"/>
      <c r="B19" s="16"/>
      <c r="C19" s="59"/>
      <c r="D19" s="10"/>
      <c r="E19" s="11"/>
      <c r="F19" s="17"/>
      <c r="G19" s="17"/>
      <c r="H19" s="17"/>
      <c r="I19" s="54"/>
      <c r="J19" s="266">
        <v>4</v>
      </c>
      <c r="K19" s="268">
        <v>0.1</v>
      </c>
      <c r="L19" s="270" t="s">
        <v>49</v>
      </c>
      <c r="M19" s="271"/>
      <c r="N19" s="271"/>
      <c r="O19" s="271"/>
      <c r="P19" s="271"/>
      <c r="Q19" s="271"/>
      <c r="R19" s="272"/>
      <c r="S19" s="276" t="s">
        <v>82</v>
      </c>
      <c r="T19" s="277"/>
      <c r="U19" s="277"/>
      <c r="V19" s="277"/>
      <c r="W19" s="278"/>
      <c r="X19" s="54"/>
      <c r="Y19" s="319"/>
      <c r="Z19" s="316"/>
      <c r="AA19" s="315"/>
      <c r="AB19" s="311"/>
      <c r="AC19" s="316"/>
      <c r="AD19" s="311"/>
      <c r="AE19" s="311"/>
      <c r="AF19" s="312"/>
      <c r="AG19" s="54"/>
      <c r="AH19" s="54"/>
      <c r="AI19" s="63"/>
      <c r="AJ19" s="10"/>
      <c r="AK19" s="10"/>
      <c r="AL19" s="54"/>
      <c r="AM19" s="54"/>
    </row>
    <row r="20" spans="1:39" ht="15" customHeight="1" x14ac:dyDescent="0.3">
      <c r="A20" s="54"/>
      <c r="B20" s="249"/>
      <c r="C20" s="250"/>
      <c r="D20" s="250"/>
      <c r="E20" s="250"/>
      <c r="F20" s="250"/>
      <c r="G20" s="250"/>
      <c r="H20" s="251"/>
      <c r="I20" s="54"/>
      <c r="J20" s="267"/>
      <c r="K20" s="269"/>
      <c r="L20" s="273"/>
      <c r="M20" s="274"/>
      <c r="N20" s="274"/>
      <c r="O20" s="274"/>
      <c r="P20" s="274"/>
      <c r="Q20" s="274"/>
      <c r="R20" s="275"/>
      <c r="S20" s="279"/>
      <c r="T20" s="280"/>
      <c r="U20" s="280"/>
      <c r="V20" s="280"/>
      <c r="W20" s="281"/>
      <c r="X20" s="54"/>
      <c r="Y20" s="319"/>
      <c r="Z20" s="316"/>
      <c r="AA20" s="315"/>
      <c r="AB20" s="311"/>
      <c r="AC20" s="316"/>
      <c r="AD20" s="311"/>
      <c r="AE20" s="311"/>
      <c r="AF20" s="312"/>
      <c r="AG20" s="54"/>
      <c r="AH20" s="54"/>
      <c r="AI20" s="63"/>
      <c r="AJ20" s="10"/>
      <c r="AK20" s="10"/>
      <c r="AL20" s="54"/>
      <c r="AM20" s="54"/>
    </row>
    <row r="21" spans="1:39" ht="15.75" customHeight="1" thickBot="1" x14ac:dyDescent="0.35">
      <c r="A21" s="54"/>
      <c r="B21" s="252"/>
      <c r="C21" s="253"/>
      <c r="D21" s="253"/>
      <c r="E21" s="253"/>
      <c r="F21" s="253"/>
      <c r="G21" s="253"/>
      <c r="H21" s="254"/>
      <c r="I21" s="54"/>
      <c r="J21" s="19">
        <v>5</v>
      </c>
      <c r="K21" s="23">
        <v>0.2</v>
      </c>
      <c r="L21" s="255" t="s">
        <v>50</v>
      </c>
      <c r="M21" s="255"/>
      <c r="N21" s="255"/>
      <c r="O21" s="255"/>
      <c r="P21" s="255"/>
      <c r="Q21" s="255"/>
      <c r="R21" s="255"/>
      <c r="S21" s="256" t="s">
        <v>82</v>
      </c>
      <c r="T21" s="256"/>
      <c r="U21" s="256"/>
      <c r="V21" s="256"/>
      <c r="W21" s="257"/>
      <c r="X21" s="54"/>
      <c r="Y21" s="320"/>
      <c r="Z21" s="318"/>
      <c r="AA21" s="317"/>
      <c r="AB21" s="313"/>
      <c r="AC21" s="318"/>
      <c r="AD21" s="313"/>
      <c r="AE21" s="313"/>
      <c r="AF21" s="314"/>
      <c r="AG21" s="54"/>
      <c r="AH21" s="54"/>
      <c r="AI21" s="63"/>
      <c r="AJ21" s="10"/>
      <c r="AK21" s="10"/>
      <c r="AL21" s="54"/>
      <c r="AM21" s="54"/>
    </row>
    <row r="22" spans="1:39" ht="2.25" customHeight="1" thickBot="1" x14ac:dyDescent="0.35">
      <c r="A22" s="54"/>
      <c r="B22" s="2"/>
      <c r="C22" s="54"/>
      <c r="D22" s="10"/>
      <c r="E22" s="8"/>
      <c r="F22" s="14"/>
      <c r="G22" s="14"/>
      <c r="H22" s="106"/>
      <c r="I22" s="106"/>
      <c r="J22" s="106"/>
      <c r="K22" s="106"/>
      <c r="L22" s="106"/>
      <c r="M22" s="106"/>
      <c r="N22" s="106"/>
      <c r="O22" s="106"/>
      <c r="P22" s="106"/>
      <c r="Q22" s="106"/>
      <c r="R22" s="106"/>
      <c r="S22" s="106"/>
      <c r="T22" s="106"/>
      <c r="U22" s="106"/>
      <c r="V22" s="106"/>
      <c r="W22" s="106"/>
      <c r="X22" s="106"/>
      <c r="Y22" s="106"/>
      <c r="Z22" s="106"/>
      <c r="AA22" s="106"/>
      <c r="AB22" s="54"/>
      <c r="AC22" s="54"/>
      <c r="AD22" s="54"/>
      <c r="AE22" s="54"/>
      <c r="AF22" s="54"/>
      <c r="AG22" s="54"/>
      <c r="AH22" s="54"/>
      <c r="AI22" s="63"/>
      <c r="AJ22" s="10"/>
      <c r="AK22" s="10"/>
      <c r="AL22" s="54"/>
      <c r="AM22" s="54"/>
    </row>
    <row r="23" spans="1:39" ht="15" customHeight="1" x14ac:dyDescent="0.3">
      <c r="A23" s="106"/>
      <c r="B23" s="28" t="s">
        <v>51</v>
      </c>
      <c r="C23" s="258" t="s">
        <v>52</v>
      </c>
      <c r="D23" s="259"/>
      <c r="E23" s="260"/>
      <c r="F23" s="29" t="s">
        <v>53</v>
      </c>
      <c r="G23" s="13"/>
      <c r="H23" s="261" t="s">
        <v>54</v>
      </c>
      <c r="I23" s="234"/>
      <c r="J23" s="234"/>
      <c r="K23" s="234"/>
      <c r="L23" s="262" t="s">
        <v>51</v>
      </c>
      <c r="M23" s="262"/>
      <c r="N23" s="262"/>
      <c r="O23" s="234" t="s">
        <v>55</v>
      </c>
      <c r="P23" s="234"/>
      <c r="Q23" s="234"/>
      <c r="R23" s="263" t="s">
        <v>56</v>
      </c>
      <c r="S23" s="264"/>
      <c r="T23" s="264"/>
      <c r="U23" s="264"/>
      <c r="V23" s="264"/>
      <c r="W23" s="264"/>
      <c r="X23" s="264"/>
      <c r="Y23" s="264"/>
      <c r="Z23" s="265"/>
      <c r="AA23" s="54"/>
      <c r="AB23" s="104" t="s">
        <v>57</v>
      </c>
      <c r="AC23" s="101" t="s">
        <v>112</v>
      </c>
      <c r="AD23" s="234" t="s">
        <v>40</v>
      </c>
      <c r="AE23" s="234"/>
      <c r="AF23" s="235"/>
      <c r="AG23" s="54"/>
      <c r="AH23" s="54"/>
      <c r="AI23" s="63"/>
      <c r="AJ23" s="10"/>
      <c r="AK23" s="10"/>
      <c r="AL23" s="54"/>
      <c r="AM23" s="54"/>
    </row>
    <row r="24" spans="1:39" ht="15" customHeight="1" x14ac:dyDescent="0.3">
      <c r="A24" s="106"/>
      <c r="B24" s="89" t="s">
        <v>132</v>
      </c>
      <c r="C24" s="236" t="s">
        <v>133</v>
      </c>
      <c r="D24" s="237"/>
      <c r="E24" s="238"/>
      <c r="F24" s="21" t="s">
        <v>134</v>
      </c>
      <c r="G24" s="70" t="s">
        <v>58</v>
      </c>
      <c r="H24" s="239" t="s">
        <v>58</v>
      </c>
      <c r="I24" s="240"/>
      <c r="J24" s="240"/>
      <c r="K24" s="240"/>
      <c r="L24" s="241" t="s">
        <v>83</v>
      </c>
      <c r="M24" s="242"/>
      <c r="N24" s="243"/>
      <c r="O24" s="241" t="s">
        <v>83</v>
      </c>
      <c r="P24" s="242"/>
      <c r="Q24" s="243"/>
      <c r="R24" s="244" t="s">
        <v>168</v>
      </c>
      <c r="S24" s="245"/>
      <c r="T24" s="245"/>
      <c r="U24" s="245"/>
      <c r="V24" s="245"/>
      <c r="W24" s="245"/>
      <c r="X24" s="245"/>
      <c r="Y24" s="245"/>
      <c r="Z24" s="246"/>
      <c r="AA24" s="69" t="s">
        <v>94</v>
      </c>
      <c r="AB24" s="102" t="s">
        <v>59</v>
      </c>
      <c r="AC24" s="100" t="s">
        <v>169</v>
      </c>
      <c r="AD24" s="247" t="s">
        <v>170</v>
      </c>
      <c r="AE24" s="247"/>
      <c r="AF24" s="248"/>
      <c r="AG24" s="54"/>
      <c r="AH24" s="54"/>
      <c r="AI24" s="63"/>
      <c r="AJ24" s="10"/>
      <c r="AK24" s="10"/>
      <c r="AL24" s="54"/>
      <c r="AM24" s="54"/>
    </row>
    <row r="25" spans="1:39" x14ac:dyDescent="0.3">
      <c r="A25" s="106"/>
      <c r="B25" s="89" t="s">
        <v>135</v>
      </c>
      <c r="C25" s="236" t="s">
        <v>136</v>
      </c>
      <c r="D25" s="237"/>
      <c r="E25" s="238"/>
      <c r="F25" s="21" t="s">
        <v>137</v>
      </c>
      <c r="G25" s="71" t="s">
        <v>4</v>
      </c>
      <c r="H25" s="239" t="s">
        <v>4</v>
      </c>
      <c r="I25" s="240"/>
      <c r="J25" s="240"/>
      <c r="K25" s="240"/>
      <c r="L25" s="241" t="s">
        <v>171</v>
      </c>
      <c r="M25" s="242"/>
      <c r="N25" s="243"/>
      <c r="O25" s="241" t="s">
        <v>172</v>
      </c>
      <c r="P25" s="242"/>
      <c r="Q25" s="243"/>
      <c r="R25" s="244" t="s">
        <v>173</v>
      </c>
      <c r="S25" s="245"/>
      <c r="T25" s="245"/>
      <c r="U25" s="245"/>
      <c r="V25" s="245"/>
      <c r="W25" s="245"/>
      <c r="X25" s="245"/>
      <c r="Y25" s="245"/>
      <c r="Z25" s="246"/>
      <c r="AA25" s="69" t="s">
        <v>95</v>
      </c>
      <c r="AB25" s="102" t="s">
        <v>60</v>
      </c>
      <c r="AC25" s="100" t="s">
        <v>82</v>
      </c>
      <c r="AD25" s="247"/>
      <c r="AE25" s="247"/>
      <c r="AF25" s="248"/>
      <c r="AG25" s="54"/>
      <c r="AH25" s="54"/>
      <c r="AI25" s="63"/>
      <c r="AJ25" s="10"/>
      <c r="AK25" s="10"/>
      <c r="AL25" s="54"/>
      <c r="AM25" s="54"/>
    </row>
    <row r="26" spans="1:39" x14ac:dyDescent="0.3">
      <c r="A26" s="106"/>
      <c r="B26" s="89" t="s">
        <v>138</v>
      </c>
      <c r="C26" s="236" t="s">
        <v>139</v>
      </c>
      <c r="D26" s="237"/>
      <c r="E26" s="238"/>
      <c r="F26" s="21" t="s">
        <v>137</v>
      </c>
      <c r="G26" s="71" t="s">
        <v>3</v>
      </c>
      <c r="H26" s="239" t="s">
        <v>3</v>
      </c>
      <c r="I26" s="240"/>
      <c r="J26" s="240"/>
      <c r="K26" s="240"/>
      <c r="L26" s="241" t="s">
        <v>174</v>
      </c>
      <c r="M26" s="242"/>
      <c r="N26" s="243"/>
      <c r="O26" s="241" t="s">
        <v>172</v>
      </c>
      <c r="P26" s="242"/>
      <c r="Q26" s="243"/>
      <c r="R26" s="244" t="s">
        <v>175</v>
      </c>
      <c r="S26" s="245"/>
      <c r="T26" s="245"/>
      <c r="U26" s="245"/>
      <c r="V26" s="245"/>
      <c r="W26" s="245"/>
      <c r="X26" s="245"/>
      <c r="Y26" s="245"/>
      <c r="Z26" s="246"/>
      <c r="AA26" s="69" t="s">
        <v>61</v>
      </c>
      <c r="AB26" s="102" t="s">
        <v>61</v>
      </c>
      <c r="AC26" s="100" t="s">
        <v>169</v>
      </c>
      <c r="AD26" s="247" t="s">
        <v>176</v>
      </c>
      <c r="AE26" s="247"/>
      <c r="AF26" s="248"/>
      <c r="AG26" s="54"/>
      <c r="AH26" s="54"/>
      <c r="AI26" s="63"/>
      <c r="AJ26" s="10"/>
      <c r="AK26" s="10"/>
      <c r="AL26" s="54"/>
      <c r="AM26" s="54"/>
    </row>
    <row r="27" spans="1:39" x14ac:dyDescent="0.3">
      <c r="A27" s="106"/>
      <c r="B27" s="89" t="s">
        <v>140</v>
      </c>
      <c r="C27" s="236" t="s">
        <v>141</v>
      </c>
      <c r="D27" s="237"/>
      <c r="E27" s="238"/>
      <c r="F27" s="21" t="s">
        <v>137</v>
      </c>
      <c r="G27" s="71" t="s">
        <v>99</v>
      </c>
      <c r="H27" s="239" t="s">
        <v>2</v>
      </c>
      <c r="I27" s="240"/>
      <c r="J27" s="240"/>
      <c r="K27" s="240"/>
      <c r="L27" s="241" t="s">
        <v>177</v>
      </c>
      <c r="M27" s="242"/>
      <c r="N27" s="243"/>
      <c r="O27" s="241" t="s">
        <v>172</v>
      </c>
      <c r="P27" s="242"/>
      <c r="Q27" s="243"/>
      <c r="R27" s="244" t="s">
        <v>175</v>
      </c>
      <c r="S27" s="245"/>
      <c r="T27" s="245"/>
      <c r="U27" s="245"/>
      <c r="V27" s="245"/>
      <c r="W27" s="245"/>
      <c r="X27" s="245"/>
      <c r="Y27" s="245"/>
      <c r="Z27" s="246"/>
      <c r="AA27" s="69" t="s">
        <v>96</v>
      </c>
      <c r="AB27" s="102" t="s">
        <v>62</v>
      </c>
      <c r="AC27" s="100" t="s">
        <v>169</v>
      </c>
      <c r="AD27" s="247" t="s">
        <v>178</v>
      </c>
      <c r="AE27" s="247"/>
      <c r="AF27" s="248"/>
      <c r="AG27" s="54"/>
      <c r="AH27" s="54"/>
      <c r="AI27" s="63"/>
      <c r="AJ27" s="10"/>
      <c r="AK27" s="10"/>
      <c r="AL27" s="54"/>
      <c r="AM27" s="54"/>
    </row>
    <row r="28" spans="1:39" x14ac:dyDescent="0.3">
      <c r="A28" s="106"/>
      <c r="B28" s="89" t="s">
        <v>142</v>
      </c>
      <c r="C28" s="236" t="s">
        <v>143</v>
      </c>
      <c r="D28" s="237"/>
      <c r="E28" s="238"/>
      <c r="F28" s="21" t="s">
        <v>144</v>
      </c>
      <c r="G28" s="71" t="s">
        <v>100</v>
      </c>
      <c r="H28" s="239" t="s">
        <v>63</v>
      </c>
      <c r="I28" s="240"/>
      <c r="J28" s="240"/>
      <c r="K28" s="240"/>
      <c r="L28" s="241" t="s">
        <v>179</v>
      </c>
      <c r="M28" s="242"/>
      <c r="N28" s="243"/>
      <c r="O28" s="241" t="s">
        <v>172</v>
      </c>
      <c r="P28" s="242"/>
      <c r="Q28" s="243"/>
      <c r="R28" s="244" t="s">
        <v>175</v>
      </c>
      <c r="S28" s="245"/>
      <c r="T28" s="245"/>
      <c r="U28" s="245"/>
      <c r="V28" s="245"/>
      <c r="W28" s="245"/>
      <c r="X28" s="245"/>
      <c r="Y28" s="245"/>
      <c r="Z28" s="246"/>
      <c r="AA28" s="69" t="s">
        <v>97</v>
      </c>
      <c r="AB28" s="102" t="s">
        <v>64</v>
      </c>
      <c r="AC28" s="100" t="s">
        <v>169</v>
      </c>
      <c r="AD28" s="247" t="s">
        <v>170</v>
      </c>
      <c r="AE28" s="247"/>
      <c r="AF28" s="248"/>
      <c r="AG28" s="54"/>
      <c r="AH28" s="54"/>
      <c r="AI28" s="63"/>
      <c r="AJ28" s="10"/>
      <c r="AK28" s="10"/>
      <c r="AL28" s="54"/>
      <c r="AM28" s="54"/>
    </row>
    <row r="29" spans="1:39" x14ac:dyDescent="0.3">
      <c r="A29" s="106"/>
      <c r="B29" s="89" t="s">
        <v>159</v>
      </c>
      <c r="C29" s="236" t="s">
        <v>160</v>
      </c>
      <c r="D29" s="237"/>
      <c r="E29" s="238"/>
      <c r="F29" s="21" t="s">
        <v>354</v>
      </c>
      <c r="G29" s="71" t="s">
        <v>101</v>
      </c>
      <c r="H29" s="239" t="s">
        <v>65</v>
      </c>
      <c r="I29" s="240"/>
      <c r="J29" s="240"/>
      <c r="K29" s="240"/>
      <c r="L29" s="241" t="s">
        <v>180</v>
      </c>
      <c r="M29" s="242"/>
      <c r="N29" s="243"/>
      <c r="O29" s="241" t="s">
        <v>172</v>
      </c>
      <c r="P29" s="242"/>
      <c r="Q29" s="243"/>
      <c r="R29" s="244" t="s">
        <v>175</v>
      </c>
      <c r="S29" s="245"/>
      <c r="T29" s="245"/>
      <c r="U29" s="245"/>
      <c r="V29" s="245"/>
      <c r="W29" s="245"/>
      <c r="X29" s="245"/>
      <c r="Y29" s="245"/>
      <c r="Z29" s="246"/>
      <c r="AA29" s="69" t="s">
        <v>66</v>
      </c>
      <c r="AB29" s="102" t="s">
        <v>66</v>
      </c>
      <c r="AC29" s="100" t="s">
        <v>169</v>
      </c>
      <c r="AD29" s="247" t="s">
        <v>170</v>
      </c>
      <c r="AE29" s="247"/>
      <c r="AF29" s="248"/>
      <c r="AG29" s="54"/>
      <c r="AH29" s="54"/>
      <c r="AI29" s="63"/>
      <c r="AJ29" s="10"/>
      <c r="AK29" s="10"/>
      <c r="AL29" s="54"/>
      <c r="AM29" s="54"/>
    </row>
    <row r="30" spans="1:39" ht="15" thickBot="1" x14ac:dyDescent="0.35">
      <c r="A30" s="106"/>
      <c r="B30" s="89" t="s">
        <v>161</v>
      </c>
      <c r="C30" s="236" t="s">
        <v>162</v>
      </c>
      <c r="D30" s="237"/>
      <c r="E30" s="238"/>
      <c r="F30" s="21" t="s">
        <v>163</v>
      </c>
      <c r="G30" s="71" t="s">
        <v>102</v>
      </c>
      <c r="H30" s="239" t="s">
        <v>67</v>
      </c>
      <c r="I30" s="240"/>
      <c r="J30" s="240"/>
      <c r="K30" s="240"/>
      <c r="L30" s="241" t="s">
        <v>181</v>
      </c>
      <c r="M30" s="242"/>
      <c r="N30" s="243"/>
      <c r="O30" s="241" t="s">
        <v>172</v>
      </c>
      <c r="P30" s="242"/>
      <c r="Q30" s="243"/>
      <c r="R30" s="244" t="s">
        <v>175</v>
      </c>
      <c r="S30" s="245"/>
      <c r="T30" s="245"/>
      <c r="U30" s="245"/>
      <c r="V30" s="245"/>
      <c r="W30" s="245"/>
      <c r="X30" s="245"/>
      <c r="Y30" s="245"/>
      <c r="Z30" s="246"/>
      <c r="AA30" s="69" t="s">
        <v>98</v>
      </c>
      <c r="AB30" s="108" t="s">
        <v>68</v>
      </c>
      <c r="AC30" s="84" t="s">
        <v>182</v>
      </c>
      <c r="AD30" s="282" t="s">
        <v>183</v>
      </c>
      <c r="AE30" s="282"/>
      <c r="AF30" s="283"/>
      <c r="AG30" s="54"/>
      <c r="AH30" s="54"/>
      <c r="AI30" s="63"/>
      <c r="AJ30" s="10"/>
      <c r="AK30" s="10"/>
      <c r="AL30" s="54"/>
      <c r="AM30" s="54"/>
    </row>
    <row r="31" spans="1:39" ht="15" thickBot="1" x14ac:dyDescent="0.35">
      <c r="A31" s="106"/>
      <c r="B31" s="89" t="s">
        <v>148</v>
      </c>
      <c r="C31" s="236" t="s">
        <v>149</v>
      </c>
      <c r="D31" s="237"/>
      <c r="E31" s="238"/>
      <c r="F31" s="21" t="s">
        <v>150</v>
      </c>
      <c r="G31" s="71" t="s">
        <v>103</v>
      </c>
      <c r="H31" s="239" t="s">
        <v>69</v>
      </c>
      <c r="I31" s="240"/>
      <c r="J31" s="240"/>
      <c r="K31" s="240"/>
      <c r="L31" s="241" t="s">
        <v>184</v>
      </c>
      <c r="M31" s="242"/>
      <c r="N31" s="243"/>
      <c r="O31" s="241" t="s">
        <v>172</v>
      </c>
      <c r="P31" s="242"/>
      <c r="Q31" s="243"/>
      <c r="R31" s="244" t="s">
        <v>175</v>
      </c>
      <c r="S31" s="245"/>
      <c r="T31" s="245"/>
      <c r="U31" s="245"/>
      <c r="V31" s="245"/>
      <c r="W31" s="245"/>
      <c r="X31" s="245"/>
      <c r="Y31" s="245"/>
      <c r="Z31" s="246"/>
      <c r="AA31" s="54"/>
      <c r="AB31" s="289"/>
      <c r="AC31" s="289"/>
      <c r="AD31" s="289"/>
      <c r="AE31" s="289"/>
      <c r="AF31" s="289"/>
      <c r="AG31" s="54"/>
      <c r="AH31" s="54"/>
      <c r="AI31" s="63"/>
      <c r="AJ31" s="10"/>
      <c r="AK31" s="10"/>
      <c r="AL31" s="54"/>
      <c r="AM31" s="54"/>
    </row>
    <row r="32" spans="1:39" x14ac:dyDescent="0.3">
      <c r="A32" s="106"/>
      <c r="B32" s="89" t="s">
        <v>151</v>
      </c>
      <c r="C32" s="236" t="s">
        <v>152</v>
      </c>
      <c r="D32" s="237"/>
      <c r="E32" s="238"/>
      <c r="F32" s="21" t="s">
        <v>153</v>
      </c>
      <c r="G32" s="71" t="s">
        <v>104</v>
      </c>
      <c r="H32" s="239" t="s">
        <v>70</v>
      </c>
      <c r="I32" s="240"/>
      <c r="J32" s="240"/>
      <c r="K32" s="240"/>
      <c r="L32" s="241" t="s">
        <v>185</v>
      </c>
      <c r="M32" s="242"/>
      <c r="N32" s="243"/>
      <c r="O32" s="241" t="s">
        <v>172</v>
      </c>
      <c r="P32" s="242"/>
      <c r="Q32" s="243"/>
      <c r="R32" s="244" t="s">
        <v>175</v>
      </c>
      <c r="S32" s="245"/>
      <c r="T32" s="245"/>
      <c r="U32" s="245"/>
      <c r="V32" s="245"/>
      <c r="W32" s="245"/>
      <c r="X32" s="245"/>
      <c r="Y32" s="245"/>
      <c r="Z32" s="246"/>
      <c r="AA32" s="54"/>
      <c r="AB32" s="30" t="s">
        <v>71</v>
      </c>
      <c r="AC32" s="290" t="s">
        <v>72</v>
      </c>
      <c r="AD32" s="291"/>
      <c r="AE32" s="31"/>
      <c r="AF32" s="32" t="s">
        <v>73</v>
      </c>
      <c r="AG32" s="54"/>
      <c r="AH32" s="54"/>
      <c r="AI32" s="63"/>
      <c r="AJ32" s="10"/>
      <c r="AK32" s="10"/>
      <c r="AL32" s="54"/>
      <c r="AM32" s="54"/>
    </row>
    <row r="33" spans="1:39" x14ac:dyDescent="0.3">
      <c r="A33" s="106"/>
      <c r="B33" s="89" t="s">
        <v>154</v>
      </c>
      <c r="C33" s="236" t="s">
        <v>155</v>
      </c>
      <c r="D33" s="237"/>
      <c r="E33" s="238"/>
      <c r="F33" s="21" t="s">
        <v>153</v>
      </c>
      <c r="G33" s="71" t="s">
        <v>105</v>
      </c>
      <c r="H33" s="284" t="s">
        <v>74</v>
      </c>
      <c r="I33" s="285"/>
      <c r="J33" s="285"/>
      <c r="K33" s="286"/>
      <c r="L33" s="241" t="s">
        <v>186</v>
      </c>
      <c r="M33" s="242"/>
      <c r="N33" s="243"/>
      <c r="O33" s="241" t="s">
        <v>172</v>
      </c>
      <c r="P33" s="242"/>
      <c r="Q33" s="243"/>
      <c r="R33" s="244" t="s">
        <v>175</v>
      </c>
      <c r="S33" s="245"/>
      <c r="T33" s="245"/>
      <c r="U33" s="245"/>
      <c r="V33" s="245"/>
      <c r="W33" s="245"/>
      <c r="X33" s="245"/>
      <c r="Y33" s="245"/>
      <c r="Z33" s="246"/>
      <c r="AA33" s="54"/>
      <c r="AB33" s="24"/>
      <c r="AC33" s="287"/>
      <c r="AD33" s="288"/>
      <c r="AE33" s="106"/>
      <c r="AF33" s="26"/>
      <c r="AG33" s="54"/>
      <c r="AH33" s="54"/>
      <c r="AI33" s="63"/>
      <c r="AJ33" s="10"/>
      <c r="AK33" s="10"/>
      <c r="AL33" s="54"/>
      <c r="AM33" s="54"/>
    </row>
    <row r="34" spans="1:39" x14ac:dyDescent="0.3">
      <c r="A34" s="106"/>
      <c r="B34" s="89" t="s">
        <v>156</v>
      </c>
      <c r="C34" s="236" t="s">
        <v>157</v>
      </c>
      <c r="D34" s="237"/>
      <c r="E34" s="238"/>
      <c r="F34" s="21" t="s">
        <v>158</v>
      </c>
      <c r="G34" s="71" t="s">
        <v>106</v>
      </c>
      <c r="H34" s="239" t="s">
        <v>75</v>
      </c>
      <c r="I34" s="240"/>
      <c r="J34" s="240"/>
      <c r="K34" s="240"/>
      <c r="L34" s="241" t="s">
        <v>83</v>
      </c>
      <c r="M34" s="242"/>
      <c r="N34" s="243"/>
      <c r="O34" s="241" t="s">
        <v>187</v>
      </c>
      <c r="P34" s="242"/>
      <c r="Q34" s="243"/>
      <c r="R34" s="244">
        <v>44298</v>
      </c>
      <c r="S34" s="245"/>
      <c r="T34" s="245"/>
      <c r="U34" s="245"/>
      <c r="V34" s="245"/>
      <c r="W34" s="245"/>
      <c r="X34" s="245"/>
      <c r="Y34" s="245"/>
      <c r="Z34" s="246"/>
      <c r="AA34" s="54"/>
      <c r="AB34" s="24"/>
      <c r="AC34" s="287"/>
      <c r="AD34" s="288"/>
      <c r="AE34" s="106"/>
      <c r="AF34" s="26"/>
      <c r="AG34" s="54"/>
      <c r="AH34" s="54"/>
      <c r="AI34" s="63"/>
      <c r="AJ34" s="10"/>
      <c r="AK34" s="10"/>
      <c r="AL34" s="54"/>
      <c r="AM34" s="54"/>
    </row>
    <row r="35" spans="1:39" x14ac:dyDescent="0.3">
      <c r="A35" s="106"/>
      <c r="B35" s="89" t="s">
        <v>159</v>
      </c>
      <c r="C35" s="236" t="s">
        <v>160</v>
      </c>
      <c r="D35" s="237"/>
      <c r="E35" s="238"/>
      <c r="F35" s="21" t="s">
        <v>158</v>
      </c>
      <c r="G35" s="71" t="s">
        <v>5</v>
      </c>
      <c r="H35" s="239" t="s">
        <v>5</v>
      </c>
      <c r="I35" s="240"/>
      <c r="J35" s="240"/>
      <c r="K35" s="240"/>
      <c r="L35" s="241" t="s">
        <v>188</v>
      </c>
      <c r="M35" s="242"/>
      <c r="N35" s="243"/>
      <c r="O35" s="241" t="s">
        <v>172</v>
      </c>
      <c r="P35" s="242"/>
      <c r="Q35" s="243"/>
      <c r="R35" s="244" t="s">
        <v>173</v>
      </c>
      <c r="S35" s="245"/>
      <c r="T35" s="245"/>
      <c r="U35" s="245"/>
      <c r="V35" s="245"/>
      <c r="W35" s="245"/>
      <c r="X35" s="245"/>
      <c r="Y35" s="245"/>
      <c r="Z35" s="246"/>
      <c r="AA35" s="54"/>
      <c r="AB35" s="24"/>
      <c r="AC35" s="287"/>
      <c r="AD35" s="288"/>
      <c r="AE35" s="106"/>
      <c r="AF35" s="26"/>
      <c r="AG35" s="54"/>
      <c r="AH35" s="54"/>
      <c r="AI35" s="63"/>
      <c r="AJ35" s="10"/>
      <c r="AK35" s="10"/>
      <c r="AL35" s="54"/>
      <c r="AM35" s="54"/>
    </row>
    <row r="36" spans="1:39" x14ac:dyDescent="0.3">
      <c r="A36" s="106"/>
      <c r="B36" s="89" t="s">
        <v>161</v>
      </c>
      <c r="C36" s="236" t="s">
        <v>162</v>
      </c>
      <c r="D36" s="237"/>
      <c r="E36" s="238"/>
      <c r="F36" s="21" t="s">
        <v>163</v>
      </c>
      <c r="G36" s="71" t="s">
        <v>107</v>
      </c>
      <c r="H36" s="239" t="s">
        <v>76</v>
      </c>
      <c r="I36" s="240"/>
      <c r="J36" s="240"/>
      <c r="K36" s="240"/>
      <c r="L36" s="241" t="s">
        <v>189</v>
      </c>
      <c r="M36" s="242"/>
      <c r="N36" s="243"/>
      <c r="O36" s="241" t="s">
        <v>172</v>
      </c>
      <c r="P36" s="242"/>
      <c r="Q36" s="243"/>
      <c r="R36" s="244" t="s">
        <v>173</v>
      </c>
      <c r="S36" s="245"/>
      <c r="T36" s="245"/>
      <c r="U36" s="245"/>
      <c r="V36" s="245"/>
      <c r="W36" s="245"/>
      <c r="X36" s="245"/>
      <c r="Y36" s="245"/>
      <c r="Z36" s="246"/>
      <c r="AA36" s="54"/>
      <c r="AB36" s="24"/>
      <c r="AC36" s="287"/>
      <c r="AD36" s="288"/>
      <c r="AE36" s="106"/>
      <c r="AF36" s="26"/>
      <c r="AG36" s="54"/>
      <c r="AH36" s="54"/>
      <c r="AI36" s="63"/>
      <c r="AJ36" s="10"/>
      <c r="AK36" s="10"/>
      <c r="AL36" s="54"/>
      <c r="AM36" s="54"/>
    </row>
    <row r="37" spans="1:39" x14ac:dyDescent="0.3">
      <c r="A37" s="106"/>
      <c r="B37" s="89" t="s">
        <v>164</v>
      </c>
      <c r="C37" s="236" t="s">
        <v>165</v>
      </c>
      <c r="D37" s="237"/>
      <c r="E37" s="238"/>
      <c r="F37" s="21" t="s">
        <v>163</v>
      </c>
      <c r="G37" s="71" t="s">
        <v>108</v>
      </c>
      <c r="H37" s="239" t="s">
        <v>77</v>
      </c>
      <c r="I37" s="240"/>
      <c r="J37" s="240"/>
      <c r="K37" s="240"/>
      <c r="L37" s="241" t="s">
        <v>190</v>
      </c>
      <c r="M37" s="242"/>
      <c r="N37" s="243"/>
      <c r="O37" s="241" t="s">
        <v>191</v>
      </c>
      <c r="P37" s="242"/>
      <c r="Q37" s="243"/>
      <c r="R37" s="244" t="s">
        <v>173</v>
      </c>
      <c r="S37" s="245"/>
      <c r="T37" s="245"/>
      <c r="U37" s="245"/>
      <c r="V37" s="245"/>
      <c r="W37" s="245"/>
      <c r="X37" s="245"/>
      <c r="Y37" s="245"/>
      <c r="Z37" s="246"/>
      <c r="AA37" s="54"/>
      <c r="AB37" s="24"/>
      <c r="AC37" s="287"/>
      <c r="AD37" s="288"/>
      <c r="AE37" s="106"/>
      <c r="AF37" s="26"/>
      <c r="AG37" s="54"/>
      <c r="AH37" s="54"/>
      <c r="AI37" s="63"/>
      <c r="AJ37" s="10"/>
      <c r="AK37" s="10"/>
      <c r="AL37" s="54"/>
      <c r="AM37" s="54"/>
    </row>
    <row r="38" spans="1:39" x14ac:dyDescent="0.3">
      <c r="A38" s="106"/>
      <c r="B38" s="89" t="s">
        <v>166</v>
      </c>
      <c r="C38" s="236" t="s">
        <v>167</v>
      </c>
      <c r="D38" s="237"/>
      <c r="E38" s="238"/>
      <c r="F38" s="21" t="s">
        <v>163</v>
      </c>
      <c r="G38" s="71" t="s">
        <v>109</v>
      </c>
      <c r="H38" s="239" t="s">
        <v>78</v>
      </c>
      <c r="I38" s="240"/>
      <c r="J38" s="240"/>
      <c r="K38" s="240"/>
      <c r="L38" s="241" t="s">
        <v>192</v>
      </c>
      <c r="M38" s="242"/>
      <c r="N38" s="243"/>
      <c r="O38" s="241" t="s">
        <v>172</v>
      </c>
      <c r="P38" s="242"/>
      <c r="Q38" s="243"/>
      <c r="R38" s="244" t="s">
        <v>173</v>
      </c>
      <c r="S38" s="245"/>
      <c r="T38" s="245"/>
      <c r="U38" s="245"/>
      <c r="V38" s="245"/>
      <c r="W38" s="245"/>
      <c r="X38" s="245"/>
      <c r="Y38" s="245"/>
      <c r="Z38" s="246"/>
      <c r="AA38" s="54"/>
      <c r="AB38" s="24"/>
      <c r="AC38" s="287"/>
      <c r="AD38" s="288"/>
      <c r="AE38" s="106"/>
      <c r="AF38" s="26"/>
      <c r="AG38" s="54"/>
      <c r="AH38" s="54"/>
      <c r="AI38" s="63"/>
      <c r="AJ38" s="10"/>
      <c r="AK38" s="10"/>
      <c r="AL38" s="54"/>
      <c r="AM38" s="54"/>
    </row>
    <row r="39" spans="1:39" ht="15" thickBot="1" x14ac:dyDescent="0.35">
      <c r="A39" s="106"/>
      <c r="B39" s="89"/>
      <c r="C39" s="236"/>
      <c r="D39" s="237"/>
      <c r="E39" s="238"/>
      <c r="F39" s="21"/>
      <c r="G39" s="71" t="s">
        <v>79</v>
      </c>
      <c r="H39" s="239" t="s">
        <v>79</v>
      </c>
      <c r="I39" s="240"/>
      <c r="J39" s="240"/>
      <c r="K39" s="240"/>
      <c r="L39" s="241" t="s">
        <v>193</v>
      </c>
      <c r="M39" s="242"/>
      <c r="N39" s="243"/>
      <c r="O39" s="241" t="s">
        <v>172</v>
      </c>
      <c r="P39" s="242"/>
      <c r="Q39" s="243"/>
      <c r="R39" s="244" t="s">
        <v>173</v>
      </c>
      <c r="S39" s="245"/>
      <c r="T39" s="245"/>
      <c r="U39" s="245"/>
      <c r="V39" s="245"/>
      <c r="W39" s="245"/>
      <c r="X39" s="245"/>
      <c r="Y39" s="245"/>
      <c r="Z39" s="246"/>
      <c r="AA39" s="54"/>
      <c r="AB39" s="25"/>
      <c r="AC39" s="321"/>
      <c r="AD39" s="322"/>
      <c r="AE39" s="106"/>
      <c r="AF39" s="27"/>
      <c r="AG39" s="54"/>
      <c r="AH39" s="54"/>
      <c r="AI39" s="63"/>
      <c r="AJ39" s="10"/>
      <c r="AK39" s="10"/>
      <c r="AL39" s="54"/>
      <c r="AM39" s="54"/>
    </row>
    <row r="40" spans="1:39" x14ac:dyDescent="0.3">
      <c r="A40" s="106"/>
      <c r="B40" s="89"/>
      <c r="C40" s="236"/>
      <c r="D40" s="237"/>
      <c r="E40" s="238"/>
      <c r="F40" s="21"/>
      <c r="G40" s="71" t="s">
        <v>110</v>
      </c>
      <c r="H40" s="239" t="s">
        <v>80</v>
      </c>
      <c r="I40" s="240"/>
      <c r="J40" s="240"/>
      <c r="K40" s="240"/>
      <c r="L40" s="241" t="s">
        <v>194</v>
      </c>
      <c r="M40" s="242"/>
      <c r="N40" s="243"/>
      <c r="O40" s="241" t="s">
        <v>172</v>
      </c>
      <c r="P40" s="242"/>
      <c r="Q40" s="243"/>
      <c r="R40" s="244" t="s">
        <v>173</v>
      </c>
      <c r="S40" s="245"/>
      <c r="T40" s="245"/>
      <c r="U40" s="245"/>
      <c r="V40" s="245"/>
      <c r="W40" s="245"/>
      <c r="X40" s="245"/>
      <c r="Y40" s="245"/>
      <c r="Z40" s="246"/>
      <c r="AA40" s="54"/>
      <c r="AB40" s="106"/>
      <c r="AC40" s="106"/>
      <c r="AD40" s="106"/>
      <c r="AE40" s="106"/>
      <c r="AF40" s="106"/>
      <c r="AG40" s="54"/>
      <c r="AH40" s="54"/>
      <c r="AI40" s="63"/>
      <c r="AJ40" s="10"/>
      <c r="AK40" s="10"/>
      <c r="AL40" s="54"/>
      <c r="AM40" s="54"/>
    </row>
    <row r="41" spans="1:39" x14ac:dyDescent="0.3">
      <c r="A41" s="106"/>
      <c r="B41" s="89"/>
      <c r="C41" s="236"/>
      <c r="D41" s="237"/>
      <c r="E41" s="238"/>
      <c r="F41" s="21"/>
      <c r="G41" s="71" t="s">
        <v>111</v>
      </c>
      <c r="H41" s="239" t="s">
        <v>81</v>
      </c>
      <c r="I41" s="240"/>
      <c r="J41" s="240"/>
      <c r="K41" s="240"/>
      <c r="L41" s="241" t="s">
        <v>83</v>
      </c>
      <c r="M41" s="242"/>
      <c r="N41" s="243"/>
      <c r="O41" s="241" t="s">
        <v>83</v>
      </c>
      <c r="P41" s="242"/>
      <c r="Q41" s="243"/>
      <c r="R41" s="244" t="s">
        <v>83</v>
      </c>
      <c r="S41" s="245"/>
      <c r="T41" s="245"/>
      <c r="U41" s="245"/>
      <c r="V41" s="245"/>
      <c r="W41" s="245"/>
      <c r="X41" s="245"/>
      <c r="Y41" s="245"/>
      <c r="Z41" s="246"/>
      <c r="AA41" s="54"/>
      <c r="AB41" s="106"/>
      <c r="AC41" s="106"/>
      <c r="AD41" s="106"/>
      <c r="AE41" s="106"/>
      <c r="AF41" s="106"/>
      <c r="AG41" s="54"/>
      <c r="AH41" s="54"/>
      <c r="AI41" s="63"/>
      <c r="AJ41" s="10"/>
      <c r="AK41" s="10"/>
      <c r="AL41" s="54"/>
      <c r="AM41" s="54"/>
    </row>
    <row r="42" spans="1:39" x14ac:dyDescent="0.3">
      <c r="A42" s="106"/>
      <c r="B42" s="89"/>
      <c r="C42" s="236"/>
      <c r="D42" s="237"/>
      <c r="E42" s="238"/>
      <c r="F42" s="21"/>
      <c r="G42" s="71" t="s">
        <v>14</v>
      </c>
      <c r="H42" s="239" t="s">
        <v>88</v>
      </c>
      <c r="I42" s="240"/>
      <c r="J42" s="240"/>
      <c r="K42" s="240"/>
      <c r="L42" s="241"/>
      <c r="M42" s="242"/>
      <c r="N42" s="243"/>
      <c r="O42" s="241"/>
      <c r="P42" s="242"/>
      <c r="Q42" s="243"/>
      <c r="R42" s="244"/>
      <c r="S42" s="245"/>
      <c r="T42" s="245"/>
      <c r="U42" s="245"/>
      <c r="V42" s="245"/>
      <c r="W42" s="245"/>
      <c r="X42" s="245"/>
      <c r="Y42" s="245"/>
      <c r="Z42" s="246"/>
      <c r="AA42" s="54"/>
      <c r="AB42" s="106"/>
      <c r="AC42" s="106"/>
      <c r="AD42" s="106"/>
      <c r="AE42" s="106"/>
      <c r="AF42" s="106"/>
      <c r="AG42" s="54"/>
      <c r="AH42" s="54"/>
      <c r="AI42" s="63"/>
      <c r="AJ42" s="10"/>
      <c r="AK42" s="10"/>
      <c r="AL42" s="54"/>
      <c r="AM42" s="54"/>
    </row>
    <row r="43" spans="1:39" ht="15" thickBot="1" x14ac:dyDescent="0.35">
      <c r="A43" s="106"/>
      <c r="B43" s="90"/>
      <c r="C43" s="292"/>
      <c r="D43" s="293"/>
      <c r="E43" s="294"/>
      <c r="F43" s="60"/>
      <c r="G43" s="54"/>
      <c r="H43" s="295"/>
      <c r="I43" s="296"/>
      <c r="J43" s="296"/>
      <c r="K43" s="296"/>
      <c r="L43" s="297"/>
      <c r="M43" s="298"/>
      <c r="N43" s="299"/>
      <c r="O43" s="300"/>
      <c r="P43" s="301"/>
      <c r="Q43" s="302"/>
      <c r="R43" s="303"/>
      <c r="S43" s="304"/>
      <c r="T43" s="304"/>
      <c r="U43" s="304"/>
      <c r="V43" s="304"/>
      <c r="W43" s="304"/>
      <c r="X43" s="304"/>
      <c r="Y43" s="304"/>
      <c r="Z43" s="305"/>
      <c r="AA43" s="54"/>
      <c r="AB43" s="106"/>
      <c r="AC43" s="106"/>
      <c r="AD43" s="106"/>
      <c r="AE43" s="106"/>
      <c r="AF43" s="106"/>
      <c r="AG43" s="54"/>
      <c r="AH43" s="54"/>
      <c r="AI43" s="63"/>
      <c r="AJ43" s="10"/>
      <c r="AK43" s="10"/>
      <c r="AL43" s="54"/>
      <c r="AM43" s="54"/>
    </row>
    <row r="44" spans="1:39" ht="15" customHeight="1" x14ac:dyDescent="0.3">
      <c r="A44" s="106"/>
      <c r="B44" s="15"/>
      <c r="C44" s="106"/>
      <c r="D44" s="106"/>
      <c r="E44" s="15"/>
      <c r="F44" s="106"/>
      <c r="G44" s="54"/>
      <c r="H44" s="106"/>
      <c r="I44" s="106"/>
      <c r="J44" s="106"/>
      <c r="K44" s="106"/>
      <c r="L44" s="106"/>
      <c r="M44" s="106"/>
      <c r="N44" s="106"/>
      <c r="O44" s="106"/>
      <c r="P44" s="106"/>
      <c r="Q44" s="106"/>
      <c r="R44" s="106"/>
      <c r="S44" s="106"/>
      <c r="T44" s="106"/>
      <c r="U44" s="106"/>
      <c r="V44" s="106"/>
      <c r="W44" s="106"/>
      <c r="X44" s="106"/>
      <c r="Y44" s="106"/>
      <c r="Z44" s="106"/>
      <c r="AA44" s="54"/>
      <c r="AB44" s="106"/>
      <c r="AC44" s="106"/>
      <c r="AD44" s="106"/>
      <c r="AE44" s="106"/>
      <c r="AF44" s="106"/>
      <c r="AG44" s="54"/>
      <c r="AH44" s="54"/>
      <c r="AI44" s="63"/>
      <c r="AJ44" s="10"/>
      <c r="AK44" s="10"/>
      <c r="AL44" s="54"/>
      <c r="AM44" s="54"/>
    </row>
    <row r="45" spans="1:39" ht="15" customHeight="1" x14ac:dyDescent="0.3">
      <c r="A45" s="54"/>
      <c r="B45" s="2"/>
      <c r="C45" s="54"/>
      <c r="D45" s="54"/>
      <c r="E45" s="2"/>
      <c r="F45" s="54"/>
      <c r="G45" s="54"/>
      <c r="H45" s="106"/>
      <c r="I45" s="106"/>
      <c r="J45" s="106"/>
      <c r="K45" s="106"/>
      <c r="L45" s="106"/>
      <c r="M45" s="106"/>
      <c r="N45" s="106"/>
      <c r="O45" s="106"/>
      <c r="P45" s="106"/>
      <c r="Q45" s="106"/>
      <c r="R45" s="106"/>
      <c r="S45" s="106"/>
      <c r="T45" s="106"/>
      <c r="U45" s="106"/>
      <c r="V45" s="106"/>
      <c r="W45" s="106"/>
      <c r="X45" s="106"/>
      <c r="Y45" s="106"/>
      <c r="Z45" s="106"/>
      <c r="AA45" s="54"/>
      <c r="AB45" s="106"/>
      <c r="AC45" s="106"/>
      <c r="AD45" s="106"/>
      <c r="AE45" s="106"/>
      <c r="AF45" s="106"/>
      <c r="AG45" s="54"/>
      <c r="AH45" s="54"/>
      <c r="AI45" s="63"/>
      <c r="AJ45" s="10"/>
      <c r="AK45" s="10"/>
      <c r="AL45" s="54"/>
      <c r="AM45" s="54"/>
    </row>
    <row r="46" spans="1:39" ht="15" customHeight="1" x14ac:dyDescent="0.3">
      <c r="A46" s="54"/>
      <c r="B46" s="2"/>
      <c r="C46" s="54"/>
      <c r="D46" s="54"/>
      <c r="E46" s="2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63"/>
      <c r="AJ46" s="10"/>
      <c r="AK46" s="10"/>
      <c r="AL46" s="54"/>
      <c r="AM46" s="54"/>
    </row>
    <row r="47" spans="1:39" ht="15" customHeight="1" x14ac:dyDescent="0.3">
      <c r="A47" s="54"/>
      <c r="B47" s="2"/>
      <c r="C47" s="54"/>
      <c r="D47" s="54"/>
      <c r="E47" s="2"/>
      <c r="F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63"/>
      <c r="AJ47" s="10"/>
      <c r="AK47" s="10"/>
      <c r="AL47" s="54"/>
      <c r="AM47" s="54"/>
    </row>
    <row r="48" spans="1:39" ht="15" customHeight="1" x14ac:dyDescent="0.3"/>
    <row r="49" ht="15" customHeight="1" x14ac:dyDescent="0.3"/>
    <row r="50" ht="15" customHeight="1" x14ac:dyDescent="0.3"/>
  </sheetData>
  <mergeCells count="203">
    <mergeCell ref="V3:W3"/>
    <mergeCell ref="H4:H5"/>
    <mergeCell ref="E7:E8"/>
    <mergeCell ref="F7:F8"/>
    <mergeCell ref="G7:I8"/>
    <mergeCell ref="J7:Q7"/>
    <mergeCell ref="R7:W7"/>
    <mergeCell ref="J8:K8"/>
    <mergeCell ref="L8:M8"/>
    <mergeCell ref="N8:O8"/>
    <mergeCell ref="H2:H3"/>
    <mergeCell ref="J2:Q2"/>
    <mergeCell ref="R2:W2"/>
    <mergeCell ref="J3:K3"/>
    <mergeCell ref="L3:M3"/>
    <mergeCell ref="N3:O3"/>
    <mergeCell ref="P3:Q3"/>
    <mergeCell ref="R3:S3"/>
    <mergeCell ref="T3:U3"/>
    <mergeCell ref="P8:Q8"/>
    <mergeCell ref="R8:S8"/>
    <mergeCell ref="T8:U8"/>
    <mergeCell ref="V8:W8"/>
    <mergeCell ref="G9:I9"/>
    <mergeCell ref="J9:K9"/>
    <mergeCell ref="L9:M9"/>
    <mergeCell ref="N9:O9"/>
    <mergeCell ref="P9:Q9"/>
    <mergeCell ref="R9:S9"/>
    <mergeCell ref="T9:U9"/>
    <mergeCell ref="V9:W9"/>
    <mergeCell ref="G10:I10"/>
    <mergeCell ref="J10:K10"/>
    <mergeCell ref="L10:M10"/>
    <mergeCell ref="N10:O10"/>
    <mergeCell ref="P10:Q10"/>
    <mergeCell ref="R10:S10"/>
    <mergeCell ref="T10:U10"/>
    <mergeCell ref="V10:W10"/>
    <mergeCell ref="Y13:Z13"/>
    <mergeCell ref="AA13:AC13"/>
    <mergeCell ref="AD13:AF13"/>
    <mergeCell ref="Y14:Z21"/>
    <mergeCell ref="AA14:AC21"/>
    <mergeCell ref="AD14:AF21"/>
    <mergeCell ref="T11:U11"/>
    <mergeCell ref="V11:W11"/>
    <mergeCell ref="G13:I13"/>
    <mergeCell ref="J13:K13"/>
    <mergeCell ref="L13:M13"/>
    <mergeCell ref="N13:O13"/>
    <mergeCell ref="P13:Q13"/>
    <mergeCell ref="R13:S13"/>
    <mergeCell ref="T13:U13"/>
    <mergeCell ref="V13:W13"/>
    <mergeCell ref="G11:I11"/>
    <mergeCell ref="J11:K11"/>
    <mergeCell ref="L11:M11"/>
    <mergeCell ref="N11:O11"/>
    <mergeCell ref="P11:Q11"/>
    <mergeCell ref="R11:S11"/>
    <mergeCell ref="Y2:AF11"/>
    <mergeCell ref="S18:W18"/>
    <mergeCell ref="J19:J20"/>
    <mergeCell ref="K19:K20"/>
    <mergeCell ref="L19:R20"/>
    <mergeCell ref="S19:W20"/>
    <mergeCell ref="B20:H21"/>
    <mergeCell ref="L21:R21"/>
    <mergeCell ref="S21:W21"/>
    <mergeCell ref="F15:H15"/>
    <mergeCell ref="J15:R15"/>
    <mergeCell ref="S15:W15"/>
    <mergeCell ref="E16:E18"/>
    <mergeCell ref="F16:H18"/>
    <mergeCell ref="L16:R16"/>
    <mergeCell ref="S16:W16"/>
    <mergeCell ref="L17:R17"/>
    <mergeCell ref="S17:W17"/>
    <mergeCell ref="L18:R18"/>
    <mergeCell ref="C24:E24"/>
    <mergeCell ref="H24:K24"/>
    <mergeCell ref="L24:N24"/>
    <mergeCell ref="O24:Q24"/>
    <mergeCell ref="R24:Z24"/>
    <mergeCell ref="AD24:AF24"/>
    <mergeCell ref="C23:E23"/>
    <mergeCell ref="H23:K23"/>
    <mergeCell ref="L23:N23"/>
    <mergeCell ref="O23:Q23"/>
    <mergeCell ref="R23:Z23"/>
    <mergeCell ref="AD23:AF23"/>
    <mergeCell ref="C26:E26"/>
    <mergeCell ref="H26:K26"/>
    <mergeCell ref="L26:N26"/>
    <mergeCell ref="O26:Q26"/>
    <mergeCell ref="R26:Z26"/>
    <mergeCell ref="AD26:AF26"/>
    <mergeCell ref="C25:E25"/>
    <mergeCell ref="H25:K25"/>
    <mergeCell ref="L25:N25"/>
    <mergeCell ref="O25:Q25"/>
    <mergeCell ref="R25:Z25"/>
    <mergeCell ref="AD25:AF25"/>
    <mergeCell ref="C28:E28"/>
    <mergeCell ref="H28:K28"/>
    <mergeCell ref="L28:N28"/>
    <mergeCell ref="O28:Q28"/>
    <mergeCell ref="R28:Z28"/>
    <mergeCell ref="AD28:AF28"/>
    <mergeCell ref="C27:E27"/>
    <mergeCell ref="H27:K27"/>
    <mergeCell ref="L27:N27"/>
    <mergeCell ref="O27:Q27"/>
    <mergeCell ref="R27:Z27"/>
    <mergeCell ref="AD27:AF27"/>
    <mergeCell ref="C30:E30"/>
    <mergeCell ref="H30:K30"/>
    <mergeCell ref="L30:N30"/>
    <mergeCell ref="O30:Q30"/>
    <mergeCell ref="R30:Z30"/>
    <mergeCell ref="AD30:AF30"/>
    <mergeCell ref="C29:E29"/>
    <mergeCell ref="H29:K29"/>
    <mergeCell ref="L29:N29"/>
    <mergeCell ref="O29:Q29"/>
    <mergeCell ref="R29:Z29"/>
    <mergeCell ref="AD29:AF29"/>
    <mergeCell ref="C33:E33"/>
    <mergeCell ref="H33:K33"/>
    <mergeCell ref="L33:N33"/>
    <mergeCell ref="O33:Q33"/>
    <mergeCell ref="R33:Z33"/>
    <mergeCell ref="AC33:AD33"/>
    <mergeCell ref="AD31:AF31"/>
    <mergeCell ref="C32:E32"/>
    <mergeCell ref="H32:K32"/>
    <mergeCell ref="L32:N32"/>
    <mergeCell ref="O32:Q32"/>
    <mergeCell ref="R32:Z32"/>
    <mergeCell ref="AC32:AD32"/>
    <mergeCell ref="C31:E31"/>
    <mergeCell ref="H31:K31"/>
    <mergeCell ref="L31:N31"/>
    <mergeCell ref="O31:Q31"/>
    <mergeCell ref="R31:Z31"/>
    <mergeCell ref="AB31:AC31"/>
    <mergeCell ref="C35:E35"/>
    <mergeCell ref="H35:K35"/>
    <mergeCell ref="L35:N35"/>
    <mergeCell ref="O35:Q35"/>
    <mergeCell ref="R35:Z35"/>
    <mergeCell ref="AC35:AD35"/>
    <mergeCell ref="C34:E34"/>
    <mergeCell ref="H34:K34"/>
    <mergeCell ref="L34:N34"/>
    <mergeCell ref="O34:Q34"/>
    <mergeCell ref="R34:Z34"/>
    <mergeCell ref="AC34:AD34"/>
    <mergeCell ref="C37:E37"/>
    <mergeCell ref="H37:K37"/>
    <mergeCell ref="L37:N37"/>
    <mergeCell ref="O37:Q37"/>
    <mergeCell ref="R37:Z37"/>
    <mergeCell ref="AC37:AD37"/>
    <mergeCell ref="C36:E36"/>
    <mergeCell ref="H36:K36"/>
    <mergeCell ref="L36:N36"/>
    <mergeCell ref="O36:Q36"/>
    <mergeCell ref="R36:Z36"/>
    <mergeCell ref="AC36:AD36"/>
    <mergeCell ref="C39:E39"/>
    <mergeCell ref="H39:K39"/>
    <mergeCell ref="L39:N39"/>
    <mergeCell ref="O39:Q39"/>
    <mergeCell ref="R39:Z39"/>
    <mergeCell ref="AC39:AD39"/>
    <mergeCell ref="C38:E38"/>
    <mergeCell ref="H38:K38"/>
    <mergeCell ref="L38:N38"/>
    <mergeCell ref="O38:Q38"/>
    <mergeCell ref="R38:Z38"/>
    <mergeCell ref="AC38:AD38"/>
    <mergeCell ref="C40:E40"/>
    <mergeCell ref="H40:K40"/>
    <mergeCell ref="L40:N40"/>
    <mergeCell ref="O40:Q40"/>
    <mergeCell ref="R40:Z40"/>
    <mergeCell ref="C41:E41"/>
    <mergeCell ref="H41:K41"/>
    <mergeCell ref="L41:N41"/>
    <mergeCell ref="O41:Q41"/>
    <mergeCell ref="R41:Z41"/>
    <mergeCell ref="C42:E42"/>
    <mergeCell ref="H42:K42"/>
    <mergeCell ref="L42:N42"/>
    <mergeCell ref="O42:Q42"/>
    <mergeCell ref="R42:Z42"/>
    <mergeCell ref="C43:E43"/>
    <mergeCell ref="H43:K43"/>
    <mergeCell ref="L43:N43"/>
    <mergeCell ref="O43:Q43"/>
    <mergeCell ref="R43:Z43"/>
  </mergeCells>
  <conditionalFormatting sqref="F3:F5">
    <cfRule type="cellIs" dxfId="59" priority="10" operator="greaterThan">
      <formula>0.895</formula>
    </cfRule>
    <cfRule type="cellIs" dxfId="58" priority="11" operator="greaterThan">
      <formula>0.845</formula>
    </cfRule>
    <cfRule type="cellIs" dxfId="57" priority="12" operator="lessThan">
      <formula>0.85</formula>
    </cfRule>
  </conditionalFormatting>
  <conditionalFormatting sqref="H4:H5">
    <cfRule type="cellIs" dxfId="56" priority="8" operator="equal">
      <formula>"↓"</formula>
    </cfRule>
    <cfRule type="cellIs" dxfId="55" priority="9" operator="equal">
      <formula>"↑"</formula>
    </cfRule>
  </conditionalFormatting>
  <conditionalFormatting sqref="S16:W21">
    <cfRule type="expression" dxfId="54" priority="7">
      <formula>AND(ISNUMBER(S16),S16&lt;TODAY())</formula>
    </cfRule>
  </conditionalFormatting>
  <conditionalFormatting sqref="G10:W10">
    <cfRule type="cellIs" dxfId="53" priority="6" operator="greaterThan">
      <formula>G9</formula>
    </cfRule>
  </conditionalFormatting>
  <conditionalFormatting sqref="G11:W11">
    <cfRule type="cellIs" dxfId="52" priority="5" operator="greaterThan">
      <formula>0</formula>
    </cfRule>
  </conditionalFormatting>
  <conditionalFormatting sqref="O24:O43">
    <cfRule type="expression" dxfId="51" priority="4">
      <formula>OR(NOT(ISERROR(SEARCH("COMPLETE",O24))),NOT(ISERROR(SEARCH("RELEASED",O24))))</formula>
    </cfRule>
  </conditionalFormatting>
  <conditionalFormatting sqref="O24:Q43">
    <cfRule type="expression" dxfId="50" priority="3">
      <formula>NOT(ISERROR(SEARCH("ECO",O24)))</formula>
    </cfRule>
  </conditionalFormatting>
  <conditionalFormatting sqref="F24:F43">
    <cfRule type="expression" dxfId="49" priority="1">
      <formula>AND($F24&gt;0,DATEVALUE(RIGHT($F24,2)&amp;"-"&amp;MID($F24,6,3)&amp;"-"&amp;LEFT($F24,4))&lt;TODAY())</formula>
    </cfRule>
    <cfRule type="expression" dxfId="48" priority="2">
      <formula>AND($F24&gt;0,DATEVALUE(RIGHT($F24,2)&amp;"-"&amp;MID($F24,6,3)&amp;"-"&amp;LEFT($F24+$A$28,4))&lt;TODAY()+7)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UpdateCurrent">
                <anchor moveWithCells="1">
                  <from>
                    <xdr:col>37</xdr:col>
                    <xdr:colOff>297180</xdr:colOff>
                    <xdr:row>0</xdr:row>
                    <xdr:rowOff>0</xdr:rowOff>
                  </from>
                  <to>
                    <xdr:col>38</xdr:col>
                    <xdr:colOff>601980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2480B-7218-4B95-8DD0-756620DD6106}">
  <sheetPr codeName="Sheet8"/>
  <dimension ref="A1:AM50"/>
  <sheetViews>
    <sheetView showGridLines="0" zoomScaleNormal="100" workbookViewId="0">
      <selection activeCell="L26" sqref="L26:N26"/>
    </sheetView>
  </sheetViews>
  <sheetFormatPr defaultRowHeight="14.4" x14ac:dyDescent="0.3"/>
  <cols>
    <col min="1" max="1" width="0.44140625" customWidth="1"/>
    <col min="2" max="2" width="15.88671875" customWidth="1"/>
    <col min="3" max="3" width="15.33203125" customWidth="1"/>
    <col min="4" max="4" width="0.6640625" customWidth="1"/>
    <col min="5" max="5" width="12.88671875" customWidth="1"/>
    <col min="6" max="6" width="16" customWidth="1"/>
    <col min="7" max="7" width="0.5546875" customWidth="1"/>
    <col min="8" max="8" width="12.88671875" customWidth="1"/>
    <col min="9" max="9" width="0.5546875" customWidth="1"/>
    <col min="10" max="23" width="6.5546875" customWidth="1"/>
    <col min="24" max="24" width="0.6640625" customWidth="1"/>
    <col min="25" max="25" width="13.6640625" customWidth="1"/>
    <col min="26" max="26" width="9.44140625" customWidth="1"/>
    <col min="27" max="27" width="0.5546875" customWidth="1"/>
    <col min="28" max="28" width="12.5546875" customWidth="1"/>
    <col min="29" max="30" width="11.44140625" customWidth="1"/>
    <col min="31" max="31" width="0.88671875" customWidth="1"/>
    <col min="32" max="32" width="12.88671875" customWidth="1"/>
    <col min="35" max="35" width="12.5546875" style="64" customWidth="1"/>
    <col min="36" max="37" width="9.109375" style="65"/>
  </cols>
  <sheetData>
    <row r="1" spans="1:39" ht="2.25" customHeight="1" thickBot="1" x14ac:dyDescent="0.35">
      <c r="A1" s="31" t="s">
        <v>130</v>
      </c>
      <c r="B1" s="15"/>
      <c r="C1" s="106"/>
      <c r="D1" s="54"/>
      <c r="E1" s="2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63" t="s">
        <v>115</v>
      </c>
      <c r="AJ1" s="10" t="s">
        <v>30</v>
      </c>
      <c r="AK1" s="10" t="s">
        <v>29</v>
      </c>
      <c r="AL1" s="54"/>
      <c r="AM1" s="54"/>
    </row>
    <row r="2" spans="1:39" ht="15.75" customHeight="1" thickBot="1" x14ac:dyDescent="0.35">
      <c r="A2" s="106"/>
      <c r="B2" s="107" t="s">
        <v>1</v>
      </c>
      <c r="C2" s="72" t="s">
        <v>120</v>
      </c>
      <c r="D2" s="54"/>
      <c r="E2" s="99" t="s">
        <v>92</v>
      </c>
      <c r="F2" s="62">
        <v>44323</v>
      </c>
      <c r="G2" s="1"/>
      <c r="H2" s="163" t="s">
        <v>8</v>
      </c>
      <c r="I2" s="1"/>
      <c r="J2" s="164" t="s">
        <v>9</v>
      </c>
      <c r="K2" s="164"/>
      <c r="L2" s="164"/>
      <c r="M2" s="164"/>
      <c r="N2" s="164"/>
      <c r="O2" s="164"/>
      <c r="P2" s="164"/>
      <c r="Q2" s="164"/>
      <c r="R2" s="165" t="s">
        <v>10</v>
      </c>
      <c r="S2" s="165"/>
      <c r="T2" s="165"/>
      <c r="U2" s="165"/>
      <c r="V2" s="165"/>
      <c r="W2" s="166"/>
      <c r="X2" s="54"/>
      <c r="Y2" s="167"/>
      <c r="Z2" s="167"/>
      <c r="AA2" s="167"/>
      <c r="AB2" s="167"/>
      <c r="AC2" s="167"/>
      <c r="AD2" s="167"/>
      <c r="AE2" s="167"/>
      <c r="AF2" s="168"/>
      <c r="AG2" s="54"/>
      <c r="AH2" s="54"/>
      <c r="AI2" s="63">
        <v>44313</v>
      </c>
      <c r="AJ2" s="10">
        <v>0.33</v>
      </c>
      <c r="AK2" s="10"/>
      <c r="AL2" s="54"/>
      <c r="AM2" s="54"/>
    </row>
    <row r="3" spans="1:39" ht="15" customHeight="1" thickBot="1" x14ac:dyDescent="0.35">
      <c r="A3" s="106"/>
      <c r="B3" s="33" t="s">
        <v>11</v>
      </c>
      <c r="C3" s="73" t="s">
        <v>281</v>
      </c>
      <c r="D3" s="54"/>
      <c r="E3" s="33" t="s">
        <v>93</v>
      </c>
      <c r="F3" s="85"/>
      <c r="G3" s="1"/>
      <c r="H3" s="163"/>
      <c r="I3" s="1"/>
      <c r="J3" s="171" t="s">
        <v>12</v>
      </c>
      <c r="K3" s="171"/>
      <c r="L3" s="171" t="s">
        <v>13</v>
      </c>
      <c r="M3" s="171"/>
      <c r="N3" s="171" t="s">
        <v>14</v>
      </c>
      <c r="O3" s="172"/>
      <c r="P3" s="171" t="s">
        <v>6</v>
      </c>
      <c r="Q3" s="171"/>
      <c r="R3" s="171" t="s">
        <v>12</v>
      </c>
      <c r="S3" s="171"/>
      <c r="T3" s="171" t="s">
        <v>13</v>
      </c>
      <c r="U3" s="172"/>
      <c r="V3" s="171" t="s">
        <v>6</v>
      </c>
      <c r="W3" s="173"/>
      <c r="X3" s="54"/>
      <c r="Y3" s="167"/>
      <c r="Z3" s="167"/>
      <c r="AA3" s="167"/>
      <c r="AB3" s="167"/>
      <c r="AC3" s="167"/>
      <c r="AD3" s="167"/>
      <c r="AE3" s="167"/>
      <c r="AF3" s="168"/>
      <c r="AG3" s="54"/>
      <c r="AH3" s="54"/>
      <c r="AI3" s="63">
        <v>44349</v>
      </c>
      <c r="AJ3" s="10"/>
      <c r="AK3" s="10"/>
      <c r="AL3" s="54"/>
      <c r="AM3" s="54"/>
    </row>
    <row r="4" spans="1:39" ht="15" customHeight="1" thickBot="1" x14ac:dyDescent="0.35">
      <c r="A4" s="106"/>
      <c r="B4" s="34" t="s">
        <v>15</v>
      </c>
      <c r="C4" s="74">
        <v>431772</v>
      </c>
      <c r="D4" s="54"/>
      <c r="E4" s="33" t="s">
        <v>116</v>
      </c>
      <c r="F4" s="86">
        <v>0</v>
      </c>
      <c r="G4" s="1"/>
      <c r="H4" s="174" t="e">
        <f>IF(VALUE(LEFT(F10,FIND("(",F10)-1))/VALUE(LEFT(F13,FIND("(",F13)-1))&gt;1.2,"↑",IF(VALUE(LEFT(F10,FIND("(",F10)-1))/VALUE(LEFT(F13,FIND("(",F13)-1))&lt;0.8,"↓","🗘"))</f>
        <v>#VALUE!</v>
      </c>
      <c r="I4" s="1"/>
      <c r="J4" s="3" t="s">
        <v>16</v>
      </c>
      <c r="K4" s="4" t="s">
        <v>17</v>
      </c>
      <c r="L4" s="3" t="s">
        <v>16</v>
      </c>
      <c r="M4" s="5" t="s">
        <v>17</v>
      </c>
      <c r="N4" s="3" t="s">
        <v>16</v>
      </c>
      <c r="O4" s="4" t="s">
        <v>17</v>
      </c>
      <c r="P4" s="3" t="s">
        <v>16</v>
      </c>
      <c r="Q4" s="5" t="s">
        <v>17</v>
      </c>
      <c r="R4" s="6" t="s">
        <v>16</v>
      </c>
      <c r="S4" s="4" t="s">
        <v>17</v>
      </c>
      <c r="T4" s="7" t="s">
        <v>16</v>
      </c>
      <c r="U4" s="5" t="s">
        <v>17</v>
      </c>
      <c r="V4" s="6" t="s">
        <v>16</v>
      </c>
      <c r="W4" s="4" t="s">
        <v>17</v>
      </c>
      <c r="X4" s="54"/>
      <c r="Y4" s="167"/>
      <c r="Z4" s="167"/>
      <c r="AA4" s="167"/>
      <c r="AB4" s="167"/>
      <c r="AC4" s="167"/>
      <c r="AD4" s="167"/>
      <c r="AE4" s="167"/>
      <c r="AF4" s="168"/>
      <c r="AG4" s="54"/>
      <c r="AI4" s="63"/>
      <c r="AJ4" s="10"/>
      <c r="AK4" s="10"/>
      <c r="AL4" s="54"/>
      <c r="AM4" s="54"/>
    </row>
    <row r="5" spans="1:39" ht="15.75" customHeight="1" thickBot="1" x14ac:dyDescent="0.35">
      <c r="A5" s="106"/>
      <c r="B5" s="35" t="s">
        <v>19</v>
      </c>
      <c r="C5" s="75" t="s">
        <v>282</v>
      </c>
      <c r="D5" s="54"/>
      <c r="E5" s="35" t="s">
        <v>91</v>
      </c>
      <c r="F5" s="87"/>
      <c r="G5" s="1"/>
      <c r="H5" s="175"/>
      <c r="I5" s="1"/>
      <c r="J5" s="38">
        <v>969</v>
      </c>
      <c r="K5" s="39"/>
      <c r="L5" s="40">
        <v>356</v>
      </c>
      <c r="M5" s="41"/>
      <c r="N5" s="40">
        <v>0</v>
      </c>
      <c r="O5" s="42"/>
      <c r="P5" s="38">
        <v>0</v>
      </c>
      <c r="Q5" s="43"/>
      <c r="R5" s="44">
        <v>478</v>
      </c>
      <c r="S5" s="45"/>
      <c r="T5" s="46">
        <v>91</v>
      </c>
      <c r="U5" s="47"/>
      <c r="V5" s="44">
        <v>0</v>
      </c>
      <c r="W5" s="45"/>
      <c r="X5" s="54"/>
      <c r="Y5" s="167"/>
      <c r="Z5" s="167"/>
      <c r="AA5" s="167"/>
      <c r="AB5" s="167"/>
      <c r="AC5" s="167"/>
      <c r="AD5" s="167"/>
      <c r="AE5" s="167"/>
      <c r="AF5" s="168"/>
      <c r="AG5" s="54"/>
      <c r="AH5" s="54"/>
      <c r="AI5" s="63"/>
      <c r="AJ5" s="10"/>
      <c r="AK5" s="10"/>
      <c r="AL5" s="54"/>
      <c r="AM5" s="54"/>
    </row>
    <row r="6" spans="1:39" ht="3.75" customHeight="1" thickBot="1" x14ac:dyDescent="0.35">
      <c r="A6" s="106"/>
      <c r="B6" s="15"/>
      <c r="C6" s="76"/>
      <c r="D6" s="8"/>
      <c r="E6" s="2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167"/>
      <c r="Z6" s="167"/>
      <c r="AA6" s="167"/>
      <c r="AB6" s="167"/>
      <c r="AC6" s="167"/>
      <c r="AD6" s="167"/>
      <c r="AE6" s="167"/>
      <c r="AF6" s="168"/>
      <c r="AG6" s="54"/>
      <c r="AH6" s="54"/>
      <c r="AI6" s="63"/>
      <c r="AJ6" s="10"/>
      <c r="AK6" s="10"/>
      <c r="AL6" s="54"/>
      <c r="AM6" s="54"/>
    </row>
    <row r="7" spans="1:39" ht="15.75" customHeight="1" thickBot="1" x14ac:dyDescent="0.35">
      <c r="A7" s="106"/>
      <c r="B7" s="104" t="s">
        <v>22</v>
      </c>
      <c r="C7" s="77"/>
      <c r="D7" s="9"/>
      <c r="E7" s="186" t="s">
        <v>23</v>
      </c>
      <c r="F7" s="187" t="s">
        <v>24</v>
      </c>
      <c r="G7" s="188" t="s">
        <v>0</v>
      </c>
      <c r="H7" s="188"/>
      <c r="I7" s="188"/>
      <c r="J7" s="189" t="s">
        <v>9</v>
      </c>
      <c r="K7" s="189"/>
      <c r="L7" s="189"/>
      <c r="M7" s="189"/>
      <c r="N7" s="189"/>
      <c r="O7" s="189"/>
      <c r="P7" s="189"/>
      <c r="Q7" s="189"/>
      <c r="R7" s="165" t="s">
        <v>10</v>
      </c>
      <c r="S7" s="190"/>
      <c r="T7" s="190"/>
      <c r="U7" s="190"/>
      <c r="V7" s="190"/>
      <c r="W7" s="191"/>
      <c r="X7" s="54"/>
      <c r="Y7" s="167"/>
      <c r="Z7" s="167"/>
      <c r="AA7" s="167"/>
      <c r="AB7" s="167"/>
      <c r="AC7" s="167"/>
      <c r="AD7" s="167"/>
      <c r="AE7" s="167"/>
      <c r="AF7" s="168"/>
      <c r="AG7" s="54"/>
      <c r="AH7" s="54"/>
      <c r="AI7" s="63"/>
      <c r="AJ7" s="10"/>
      <c r="AK7" s="10"/>
      <c r="AL7" s="54"/>
      <c r="AM7" s="54"/>
    </row>
    <row r="8" spans="1:39" ht="15.75" customHeight="1" thickBot="1" x14ac:dyDescent="0.35">
      <c r="A8" s="106"/>
      <c r="B8" s="36" t="s">
        <v>25</v>
      </c>
      <c r="C8" s="78"/>
      <c r="D8" s="9"/>
      <c r="E8" s="186"/>
      <c r="F8" s="187"/>
      <c r="G8" s="188"/>
      <c r="H8" s="188"/>
      <c r="I8" s="188"/>
      <c r="J8" s="192" t="s">
        <v>12</v>
      </c>
      <c r="K8" s="192"/>
      <c r="L8" s="192" t="s">
        <v>13</v>
      </c>
      <c r="M8" s="171"/>
      <c r="N8" s="192" t="s">
        <v>14</v>
      </c>
      <c r="O8" s="172"/>
      <c r="P8" s="192" t="s">
        <v>6</v>
      </c>
      <c r="Q8" s="171"/>
      <c r="R8" s="192" t="s">
        <v>12</v>
      </c>
      <c r="S8" s="173"/>
      <c r="T8" s="192" t="s">
        <v>13</v>
      </c>
      <c r="U8" s="173"/>
      <c r="V8" s="192" t="s">
        <v>6</v>
      </c>
      <c r="W8" s="172"/>
      <c r="X8" s="54"/>
      <c r="Y8" s="167"/>
      <c r="Z8" s="167"/>
      <c r="AA8" s="167"/>
      <c r="AB8" s="167"/>
      <c r="AC8" s="167"/>
      <c r="AD8" s="167"/>
      <c r="AE8" s="167"/>
      <c r="AF8" s="168"/>
      <c r="AG8" s="54"/>
      <c r="AH8" s="54"/>
      <c r="AI8" s="63"/>
      <c r="AJ8" s="10"/>
      <c r="AK8" s="10"/>
      <c r="AL8" s="54"/>
      <c r="AM8" s="54"/>
    </row>
    <row r="9" spans="1:39" ht="15.75" customHeight="1" thickBot="1" x14ac:dyDescent="0.35">
      <c r="A9" s="106"/>
      <c r="B9" s="36" t="s">
        <v>28</v>
      </c>
      <c r="C9" s="78"/>
      <c r="D9" s="9"/>
      <c r="E9" s="51" t="s">
        <v>29</v>
      </c>
      <c r="F9" s="48"/>
      <c r="G9" s="176"/>
      <c r="H9" s="176"/>
      <c r="I9" s="176"/>
      <c r="J9" s="177"/>
      <c r="K9" s="177"/>
      <c r="L9" s="177"/>
      <c r="M9" s="178"/>
      <c r="N9" s="177"/>
      <c r="O9" s="179"/>
      <c r="P9" s="177"/>
      <c r="Q9" s="178"/>
      <c r="R9" s="177"/>
      <c r="S9" s="179"/>
      <c r="T9" s="177"/>
      <c r="U9" s="180"/>
      <c r="V9" s="177"/>
      <c r="W9" s="179"/>
      <c r="X9" s="54"/>
      <c r="Y9" s="167"/>
      <c r="Z9" s="167"/>
      <c r="AA9" s="167"/>
      <c r="AB9" s="167"/>
      <c r="AC9" s="167"/>
      <c r="AD9" s="167"/>
      <c r="AE9" s="167"/>
      <c r="AF9" s="168"/>
      <c r="AG9" s="54"/>
      <c r="AH9" s="54"/>
      <c r="AI9" s="63"/>
      <c r="AJ9" s="10"/>
      <c r="AK9" s="10"/>
      <c r="AL9" s="54"/>
      <c r="AM9" s="54"/>
    </row>
    <row r="10" spans="1:39" ht="15.75" customHeight="1" thickBot="1" x14ac:dyDescent="0.35">
      <c r="A10" s="106"/>
      <c r="B10" s="36" t="s">
        <v>7</v>
      </c>
      <c r="C10" s="78"/>
      <c r="D10" s="9"/>
      <c r="E10" s="51" t="s">
        <v>86</v>
      </c>
      <c r="F10" s="49"/>
      <c r="G10" s="181">
        <v>1190830</v>
      </c>
      <c r="H10" s="181"/>
      <c r="I10" s="181"/>
      <c r="J10" s="182">
        <f>SUM(J5:K5)</f>
        <v>969</v>
      </c>
      <c r="K10" s="182"/>
      <c r="L10" s="183">
        <f>SUM(L5:M5)</f>
        <v>356</v>
      </c>
      <c r="M10" s="184"/>
      <c r="N10" s="183">
        <f>SUM(N5:O5)</f>
        <v>0</v>
      </c>
      <c r="O10" s="185"/>
      <c r="P10" s="182">
        <f>SUM(P5:Q5)</f>
        <v>0</v>
      </c>
      <c r="Q10" s="193"/>
      <c r="R10" s="182">
        <f>SUM(R5:S5)</f>
        <v>478</v>
      </c>
      <c r="S10" s="194"/>
      <c r="T10" s="182">
        <f>SUM(T5:U5)</f>
        <v>91</v>
      </c>
      <c r="U10" s="195"/>
      <c r="V10" s="182">
        <f>SUM(V5:W5)</f>
        <v>0</v>
      </c>
      <c r="W10" s="194"/>
      <c r="X10" s="54"/>
      <c r="Y10" s="167"/>
      <c r="Z10" s="167"/>
      <c r="AA10" s="167"/>
      <c r="AB10" s="167"/>
      <c r="AC10" s="167"/>
      <c r="AD10" s="167"/>
      <c r="AE10" s="167"/>
      <c r="AF10" s="168"/>
      <c r="AG10" s="54"/>
      <c r="AH10" s="54"/>
      <c r="AI10" s="63"/>
      <c r="AJ10" s="10"/>
      <c r="AK10" s="10"/>
      <c r="AL10" s="54"/>
      <c r="AM10" s="54"/>
    </row>
    <row r="11" spans="1:39" ht="15.75" customHeight="1" thickBot="1" x14ac:dyDescent="0.35">
      <c r="A11" s="106"/>
      <c r="B11" s="37" t="s">
        <v>32</v>
      </c>
      <c r="C11" s="79"/>
      <c r="D11" s="9"/>
      <c r="E11" s="52" t="s">
        <v>84</v>
      </c>
      <c r="F11" s="88" t="e">
        <f>VALUE(LEFT(F9,FIND("(",F9)-1))-VALUE(LEFT(F10,FIND("(",F10)-1))</f>
        <v>#VALUE!</v>
      </c>
      <c r="G11" s="196">
        <f>G9-G10</f>
        <v>-1190830</v>
      </c>
      <c r="H11" s="196"/>
      <c r="I11" s="196"/>
      <c r="J11" s="197">
        <f>J9-J10</f>
        <v>-969</v>
      </c>
      <c r="K11" s="197"/>
      <c r="L11" s="198">
        <f>L9-L10</f>
        <v>-356</v>
      </c>
      <c r="M11" s="199"/>
      <c r="N11" s="200">
        <f>N9-N10</f>
        <v>0</v>
      </c>
      <c r="O11" s="201"/>
      <c r="P11" s="197">
        <f>P9-P10</f>
        <v>0</v>
      </c>
      <c r="Q11" s="202"/>
      <c r="R11" s="200">
        <f>R9-R10</f>
        <v>-478</v>
      </c>
      <c r="S11" s="201"/>
      <c r="T11" s="200">
        <f>T9-T10</f>
        <v>-91</v>
      </c>
      <c r="U11" s="203"/>
      <c r="V11" s="200">
        <f>V9-V10</f>
        <v>0</v>
      </c>
      <c r="W11" s="201"/>
      <c r="X11" s="54"/>
      <c r="Y11" s="169"/>
      <c r="Z11" s="169"/>
      <c r="AA11" s="169"/>
      <c r="AB11" s="169"/>
      <c r="AC11" s="169"/>
      <c r="AD11" s="169"/>
      <c r="AE11" s="169"/>
      <c r="AF11" s="170"/>
      <c r="AG11" s="54"/>
      <c r="AH11" s="54"/>
      <c r="AI11" s="63"/>
      <c r="AJ11" s="10"/>
      <c r="AK11" s="10"/>
      <c r="AL11" s="54"/>
      <c r="AM11" s="54"/>
    </row>
    <row r="12" spans="1:39" ht="3" customHeight="1" thickBot="1" x14ac:dyDescent="0.35">
      <c r="A12" s="106"/>
      <c r="B12" s="15"/>
      <c r="C12" s="80"/>
      <c r="D12" s="54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63"/>
      <c r="AJ12" s="10"/>
      <c r="AK12" s="10"/>
      <c r="AL12" s="54"/>
      <c r="AM12" s="54"/>
    </row>
    <row r="13" spans="1:39" ht="15.75" customHeight="1" thickBot="1" x14ac:dyDescent="0.35">
      <c r="A13" s="106"/>
      <c r="B13" s="104" t="s">
        <v>33</v>
      </c>
      <c r="C13" s="81"/>
      <c r="D13" s="54"/>
      <c r="E13" s="109" t="s">
        <v>35</v>
      </c>
      <c r="F13" s="50"/>
      <c r="G13" s="232">
        <v>1190830</v>
      </c>
      <c r="H13" s="232"/>
      <c r="I13" s="232"/>
      <c r="J13" s="223">
        <v>969</v>
      </c>
      <c r="K13" s="223"/>
      <c r="L13" s="233">
        <v>356</v>
      </c>
      <c r="M13" s="233"/>
      <c r="N13" s="223">
        <v>0</v>
      </c>
      <c r="O13" s="224"/>
      <c r="P13" s="223">
        <v>0</v>
      </c>
      <c r="Q13" s="233"/>
      <c r="R13" s="223">
        <v>478</v>
      </c>
      <c r="S13" s="224"/>
      <c r="T13" s="221">
        <v>91</v>
      </c>
      <c r="U13" s="222"/>
      <c r="V13" s="223">
        <v>0</v>
      </c>
      <c r="W13" s="224"/>
      <c r="X13" s="54"/>
      <c r="Y13" s="309" t="s">
        <v>117</v>
      </c>
      <c r="Z13" s="308"/>
      <c r="AA13" s="306" t="s">
        <v>118</v>
      </c>
      <c r="AB13" s="307"/>
      <c r="AC13" s="308"/>
      <c r="AD13" s="307" t="s">
        <v>119</v>
      </c>
      <c r="AE13" s="307"/>
      <c r="AF13" s="310"/>
      <c r="AG13" s="54"/>
      <c r="AH13" s="54"/>
      <c r="AI13" s="63"/>
      <c r="AJ13" s="10"/>
      <c r="AK13" s="10"/>
      <c r="AL13" s="54"/>
      <c r="AM13" s="54"/>
    </row>
    <row r="14" spans="1:39" ht="15.75" customHeight="1" thickBot="1" x14ac:dyDescent="0.35">
      <c r="A14" s="106"/>
      <c r="B14" s="36" t="s">
        <v>37</v>
      </c>
      <c r="C14" s="103"/>
      <c r="D14" s="54"/>
      <c r="E14" s="2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319" t="s">
        <v>129</v>
      </c>
      <c r="Z14" s="316"/>
      <c r="AA14" s="315"/>
      <c r="AB14" s="311"/>
      <c r="AC14" s="316"/>
      <c r="AD14" s="311"/>
      <c r="AE14" s="311"/>
      <c r="AF14" s="312"/>
      <c r="AG14" s="54"/>
      <c r="AH14" s="54"/>
      <c r="AI14" s="63"/>
      <c r="AJ14" s="10"/>
      <c r="AK14" s="10"/>
      <c r="AL14" s="54"/>
      <c r="AM14" s="54"/>
    </row>
    <row r="15" spans="1:39" ht="15" customHeight="1" x14ac:dyDescent="0.3">
      <c r="A15" s="106"/>
      <c r="B15" s="36" t="s">
        <v>38</v>
      </c>
      <c r="C15" s="103"/>
      <c r="D15" s="10"/>
      <c r="E15" s="107" t="s">
        <v>39</v>
      </c>
      <c r="F15" s="225" t="s">
        <v>40</v>
      </c>
      <c r="G15" s="226"/>
      <c r="H15" s="227"/>
      <c r="I15" s="54"/>
      <c r="J15" s="228" t="s">
        <v>41</v>
      </c>
      <c r="K15" s="229"/>
      <c r="L15" s="229"/>
      <c r="M15" s="229"/>
      <c r="N15" s="229"/>
      <c r="O15" s="229"/>
      <c r="P15" s="229"/>
      <c r="Q15" s="229"/>
      <c r="R15" s="229"/>
      <c r="S15" s="230" t="s">
        <v>42</v>
      </c>
      <c r="T15" s="230"/>
      <c r="U15" s="230"/>
      <c r="V15" s="230"/>
      <c r="W15" s="231"/>
      <c r="X15" s="54"/>
      <c r="Y15" s="319"/>
      <c r="Z15" s="316"/>
      <c r="AA15" s="315"/>
      <c r="AB15" s="311"/>
      <c r="AC15" s="316"/>
      <c r="AD15" s="311"/>
      <c r="AE15" s="311"/>
      <c r="AF15" s="312"/>
      <c r="AG15" s="63"/>
      <c r="AH15" s="54"/>
      <c r="AI15" s="63"/>
      <c r="AJ15" s="10"/>
      <c r="AK15" s="10"/>
      <c r="AL15" s="54"/>
      <c r="AM15" s="54"/>
    </row>
    <row r="16" spans="1:39" ht="15" customHeight="1" x14ac:dyDescent="0.3">
      <c r="A16" s="106"/>
      <c r="B16" s="36" t="s">
        <v>43</v>
      </c>
      <c r="C16" s="103"/>
      <c r="D16" s="10"/>
      <c r="E16" s="204"/>
      <c r="F16" s="207"/>
      <c r="G16" s="208"/>
      <c r="H16" s="209"/>
      <c r="I16" s="54"/>
      <c r="J16" s="18">
        <v>1</v>
      </c>
      <c r="K16" s="22">
        <v>0.2</v>
      </c>
      <c r="L16" s="216" t="s">
        <v>44</v>
      </c>
      <c r="M16" s="216"/>
      <c r="N16" s="216"/>
      <c r="O16" s="216"/>
      <c r="P16" s="216"/>
      <c r="Q16" s="216"/>
      <c r="R16" s="216"/>
      <c r="S16" s="217" t="s">
        <v>82</v>
      </c>
      <c r="T16" s="217"/>
      <c r="U16" s="217"/>
      <c r="V16" s="217"/>
      <c r="W16" s="218"/>
      <c r="X16" s="54"/>
      <c r="Y16" s="319"/>
      <c r="Z16" s="316"/>
      <c r="AA16" s="315"/>
      <c r="AB16" s="311"/>
      <c r="AC16" s="316"/>
      <c r="AD16" s="311"/>
      <c r="AE16" s="311"/>
      <c r="AF16" s="312"/>
      <c r="AG16" s="54"/>
      <c r="AH16" s="54"/>
      <c r="AI16" s="63"/>
      <c r="AJ16" s="10"/>
      <c r="AK16" s="10"/>
      <c r="AL16" s="54"/>
      <c r="AM16" s="54"/>
    </row>
    <row r="17" spans="1:39" ht="15" customHeight="1" x14ac:dyDescent="0.3">
      <c r="A17" s="106"/>
      <c r="B17" s="36" t="s">
        <v>45</v>
      </c>
      <c r="C17" s="103"/>
      <c r="D17" s="10"/>
      <c r="E17" s="205"/>
      <c r="F17" s="210"/>
      <c r="G17" s="211"/>
      <c r="H17" s="212"/>
      <c r="I17" s="54"/>
      <c r="J17" s="18">
        <v>2</v>
      </c>
      <c r="K17" s="22">
        <v>0.3</v>
      </c>
      <c r="L17" s="216" t="s">
        <v>46</v>
      </c>
      <c r="M17" s="216"/>
      <c r="N17" s="216"/>
      <c r="O17" s="216"/>
      <c r="P17" s="216"/>
      <c r="Q17" s="216"/>
      <c r="R17" s="216"/>
      <c r="S17" s="219" t="s">
        <v>82</v>
      </c>
      <c r="T17" s="219"/>
      <c r="U17" s="219"/>
      <c r="V17" s="219"/>
      <c r="W17" s="220"/>
      <c r="X17" s="54"/>
      <c r="Y17" s="319"/>
      <c r="Z17" s="316"/>
      <c r="AA17" s="315"/>
      <c r="AB17" s="311"/>
      <c r="AC17" s="316"/>
      <c r="AD17" s="311"/>
      <c r="AE17" s="311"/>
      <c r="AF17" s="312"/>
      <c r="AG17" s="54"/>
      <c r="AH17" s="54"/>
      <c r="AI17" s="63"/>
      <c r="AJ17" s="10"/>
      <c r="AK17" s="10"/>
      <c r="AL17" s="54"/>
      <c r="AM17" s="54"/>
    </row>
    <row r="18" spans="1:39" ht="15.75" customHeight="1" thickBot="1" x14ac:dyDescent="0.35">
      <c r="A18" s="106"/>
      <c r="B18" s="37" t="s">
        <v>47</v>
      </c>
      <c r="C18" s="105"/>
      <c r="D18" s="10"/>
      <c r="E18" s="206"/>
      <c r="F18" s="213"/>
      <c r="G18" s="214"/>
      <c r="H18" s="215"/>
      <c r="I18" s="54"/>
      <c r="J18" s="18">
        <v>3</v>
      </c>
      <c r="K18" s="22">
        <v>0.2</v>
      </c>
      <c r="L18" s="216" t="s">
        <v>48</v>
      </c>
      <c r="M18" s="216"/>
      <c r="N18" s="216"/>
      <c r="O18" s="216"/>
      <c r="P18" s="216"/>
      <c r="Q18" s="216"/>
      <c r="R18" s="216"/>
      <c r="S18" s="219" t="s">
        <v>82</v>
      </c>
      <c r="T18" s="219"/>
      <c r="U18" s="219"/>
      <c r="V18" s="219"/>
      <c r="W18" s="220"/>
      <c r="X18" s="54"/>
      <c r="Y18" s="319"/>
      <c r="Z18" s="316"/>
      <c r="AA18" s="315"/>
      <c r="AB18" s="311"/>
      <c r="AC18" s="316"/>
      <c r="AD18" s="311"/>
      <c r="AE18" s="311"/>
      <c r="AF18" s="312"/>
      <c r="AG18" s="54"/>
      <c r="AH18" s="54"/>
      <c r="AI18" s="63"/>
      <c r="AJ18" s="10"/>
      <c r="AK18" s="10"/>
      <c r="AL18" s="54"/>
      <c r="AM18" s="54"/>
    </row>
    <row r="19" spans="1:39" ht="2.25" customHeight="1" thickBot="1" x14ac:dyDescent="0.35">
      <c r="A19" s="106"/>
      <c r="B19" s="16"/>
      <c r="C19" s="59"/>
      <c r="D19" s="10"/>
      <c r="E19" s="11"/>
      <c r="F19" s="17"/>
      <c r="G19" s="17"/>
      <c r="H19" s="17"/>
      <c r="I19" s="54"/>
      <c r="J19" s="266">
        <v>4</v>
      </c>
      <c r="K19" s="268">
        <v>0.1</v>
      </c>
      <c r="L19" s="270" t="s">
        <v>49</v>
      </c>
      <c r="M19" s="271"/>
      <c r="N19" s="271"/>
      <c r="O19" s="271"/>
      <c r="P19" s="271"/>
      <c r="Q19" s="271"/>
      <c r="R19" s="272"/>
      <c r="S19" s="276" t="s">
        <v>82</v>
      </c>
      <c r="T19" s="277"/>
      <c r="U19" s="277"/>
      <c r="V19" s="277"/>
      <c r="W19" s="278"/>
      <c r="X19" s="54"/>
      <c r="Y19" s="319"/>
      <c r="Z19" s="316"/>
      <c r="AA19" s="315"/>
      <c r="AB19" s="311"/>
      <c r="AC19" s="316"/>
      <c r="AD19" s="311"/>
      <c r="AE19" s="311"/>
      <c r="AF19" s="312"/>
      <c r="AG19" s="54"/>
      <c r="AH19" s="54"/>
      <c r="AI19" s="63"/>
      <c r="AJ19" s="10"/>
      <c r="AK19" s="10"/>
      <c r="AL19" s="54"/>
      <c r="AM19" s="54"/>
    </row>
    <row r="20" spans="1:39" ht="15" customHeight="1" x14ac:dyDescent="0.3">
      <c r="A20" s="54"/>
      <c r="B20" s="249"/>
      <c r="C20" s="250"/>
      <c r="D20" s="250"/>
      <c r="E20" s="250"/>
      <c r="F20" s="250"/>
      <c r="G20" s="250"/>
      <c r="H20" s="251"/>
      <c r="I20" s="54"/>
      <c r="J20" s="267"/>
      <c r="K20" s="269"/>
      <c r="L20" s="273"/>
      <c r="M20" s="274"/>
      <c r="N20" s="274"/>
      <c r="O20" s="274"/>
      <c r="P20" s="274"/>
      <c r="Q20" s="274"/>
      <c r="R20" s="275"/>
      <c r="S20" s="279"/>
      <c r="T20" s="280"/>
      <c r="U20" s="280"/>
      <c r="V20" s="280"/>
      <c r="W20" s="281"/>
      <c r="X20" s="54"/>
      <c r="Y20" s="319"/>
      <c r="Z20" s="316"/>
      <c r="AA20" s="315"/>
      <c r="AB20" s="311"/>
      <c r="AC20" s="316"/>
      <c r="AD20" s="311"/>
      <c r="AE20" s="311"/>
      <c r="AF20" s="312"/>
      <c r="AG20" s="54"/>
      <c r="AH20" s="54"/>
      <c r="AI20" s="63"/>
      <c r="AJ20" s="10"/>
      <c r="AK20" s="10"/>
      <c r="AL20" s="54"/>
      <c r="AM20" s="54"/>
    </row>
    <row r="21" spans="1:39" ht="15.75" customHeight="1" thickBot="1" x14ac:dyDescent="0.35">
      <c r="A21" s="54"/>
      <c r="B21" s="252"/>
      <c r="C21" s="253"/>
      <c r="D21" s="253"/>
      <c r="E21" s="253"/>
      <c r="F21" s="253"/>
      <c r="G21" s="253"/>
      <c r="H21" s="254"/>
      <c r="I21" s="54"/>
      <c r="J21" s="19">
        <v>5</v>
      </c>
      <c r="K21" s="23">
        <v>0.2</v>
      </c>
      <c r="L21" s="255" t="s">
        <v>50</v>
      </c>
      <c r="M21" s="255"/>
      <c r="N21" s="255"/>
      <c r="O21" s="255"/>
      <c r="P21" s="255"/>
      <c r="Q21" s="255"/>
      <c r="R21" s="255"/>
      <c r="S21" s="256" t="s">
        <v>82</v>
      </c>
      <c r="T21" s="256"/>
      <c r="U21" s="256"/>
      <c r="V21" s="256"/>
      <c r="W21" s="257"/>
      <c r="X21" s="54"/>
      <c r="Y21" s="320"/>
      <c r="Z21" s="318"/>
      <c r="AA21" s="317"/>
      <c r="AB21" s="313"/>
      <c r="AC21" s="318"/>
      <c r="AD21" s="313"/>
      <c r="AE21" s="313"/>
      <c r="AF21" s="314"/>
      <c r="AG21" s="54"/>
      <c r="AH21" s="54"/>
      <c r="AI21" s="63"/>
      <c r="AJ21" s="10"/>
      <c r="AK21" s="10"/>
      <c r="AL21" s="54"/>
      <c r="AM21" s="54"/>
    </row>
    <row r="22" spans="1:39" ht="2.25" customHeight="1" thickBot="1" x14ac:dyDescent="0.35">
      <c r="A22" s="54"/>
      <c r="B22" s="2"/>
      <c r="C22" s="54"/>
      <c r="D22" s="10"/>
      <c r="E22" s="8"/>
      <c r="F22" s="14"/>
      <c r="G22" s="14"/>
      <c r="H22" s="106"/>
      <c r="I22" s="106"/>
      <c r="J22" s="106"/>
      <c r="K22" s="106"/>
      <c r="L22" s="106"/>
      <c r="M22" s="106"/>
      <c r="N22" s="106"/>
      <c r="O22" s="106"/>
      <c r="P22" s="106"/>
      <c r="Q22" s="106"/>
      <c r="R22" s="106"/>
      <c r="S22" s="106"/>
      <c r="T22" s="106"/>
      <c r="U22" s="106"/>
      <c r="V22" s="106"/>
      <c r="W22" s="106"/>
      <c r="X22" s="106"/>
      <c r="Y22" s="106"/>
      <c r="Z22" s="106"/>
      <c r="AA22" s="106"/>
      <c r="AB22" s="54"/>
      <c r="AC22" s="54"/>
      <c r="AD22" s="54"/>
      <c r="AE22" s="54"/>
      <c r="AF22" s="54"/>
      <c r="AG22" s="54"/>
      <c r="AH22" s="54"/>
      <c r="AI22" s="63"/>
      <c r="AJ22" s="10"/>
      <c r="AK22" s="10"/>
      <c r="AL22" s="54"/>
      <c r="AM22" s="54"/>
    </row>
    <row r="23" spans="1:39" ht="15" customHeight="1" x14ac:dyDescent="0.3">
      <c r="A23" s="106"/>
      <c r="B23" s="28" t="s">
        <v>51</v>
      </c>
      <c r="C23" s="258" t="s">
        <v>52</v>
      </c>
      <c r="D23" s="259"/>
      <c r="E23" s="260"/>
      <c r="F23" s="29" t="s">
        <v>53</v>
      </c>
      <c r="G23" s="13"/>
      <c r="H23" s="261" t="s">
        <v>54</v>
      </c>
      <c r="I23" s="234"/>
      <c r="J23" s="234"/>
      <c r="K23" s="234"/>
      <c r="L23" s="262" t="s">
        <v>51</v>
      </c>
      <c r="M23" s="262"/>
      <c r="N23" s="262"/>
      <c r="O23" s="234" t="s">
        <v>55</v>
      </c>
      <c r="P23" s="234"/>
      <c r="Q23" s="234"/>
      <c r="R23" s="263" t="s">
        <v>56</v>
      </c>
      <c r="S23" s="264"/>
      <c r="T23" s="264"/>
      <c r="U23" s="264"/>
      <c r="V23" s="264"/>
      <c r="W23" s="264"/>
      <c r="X23" s="264"/>
      <c r="Y23" s="264"/>
      <c r="Z23" s="265"/>
      <c r="AA23" s="54"/>
      <c r="AB23" s="104" t="s">
        <v>57</v>
      </c>
      <c r="AC23" s="101" t="s">
        <v>112</v>
      </c>
      <c r="AD23" s="234" t="s">
        <v>40</v>
      </c>
      <c r="AE23" s="234"/>
      <c r="AF23" s="235"/>
      <c r="AG23" s="54"/>
      <c r="AH23" s="54"/>
      <c r="AI23" s="63"/>
      <c r="AJ23" s="10"/>
      <c r="AK23" s="10"/>
      <c r="AL23" s="54"/>
      <c r="AM23" s="54"/>
    </row>
    <row r="24" spans="1:39" ht="15" customHeight="1" x14ac:dyDescent="0.3">
      <c r="A24" s="106"/>
      <c r="B24" s="89" t="s">
        <v>283</v>
      </c>
      <c r="C24" s="236" t="s">
        <v>284</v>
      </c>
      <c r="D24" s="237"/>
      <c r="E24" s="238"/>
      <c r="F24" s="21" t="s">
        <v>285</v>
      </c>
      <c r="G24" s="70" t="s">
        <v>58</v>
      </c>
      <c r="H24" s="239" t="s">
        <v>58</v>
      </c>
      <c r="I24" s="240"/>
      <c r="J24" s="240"/>
      <c r="K24" s="240"/>
      <c r="L24" s="241" t="s">
        <v>83</v>
      </c>
      <c r="M24" s="242"/>
      <c r="N24" s="243"/>
      <c r="O24" s="241" t="s">
        <v>83</v>
      </c>
      <c r="P24" s="242"/>
      <c r="Q24" s="243"/>
      <c r="R24" s="244" t="s">
        <v>168</v>
      </c>
      <c r="S24" s="245"/>
      <c r="T24" s="245"/>
      <c r="U24" s="245"/>
      <c r="V24" s="245"/>
      <c r="W24" s="245"/>
      <c r="X24" s="245"/>
      <c r="Y24" s="245"/>
      <c r="Z24" s="246"/>
      <c r="AA24" s="69" t="s">
        <v>94</v>
      </c>
      <c r="AB24" s="102" t="s">
        <v>59</v>
      </c>
      <c r="AC24" s="100" t="s">
        <v>169</v>
      </c>
      <c r="AD24" s="247" t="s">
        <v>315</v>
      </c>
      <c r="AE24" s="247"/>
      <c r="AF24" s="248"/>
      <c r="AG24" s="54"/>
      <c r="AH24" s="54"/>
      <c r="AI24" s="63"/>
      <c r="AJ24" s="10"/>
      <c r="AK24" s="10"/>
      <c r="AL24" s="54"/>
      <c r="AM24" s="54"/>
    </row>
    <row r="25" spans="1:39" x14ac:dyDescent="0.3">
      <c r="A25" s="106"/>
      <c r="B25" s="89" t="s">
        <v>286</v>
      </c>
      <c r="C25" s="236" t="s">
        <v>287</v>
      </c>
      <c r="D25" s="237"/>
      <c r="E25" s="238"/>
      <c r="F25" s="21" t="s">
        <v>288</v>
      </c>
      <c r="G25" s="71" t="s">
        <v>4</v>
      </c>
      <c r="H25" s="239" t="s">
        <v>4</v>
      </c>
      <c r="I25" s="240"/>
      <c r="J25" s="240"/>
      <c r="K25" s="240"/>
      <c r="L25" s="241" t="s">
        <v>316</v>
      </c>
      <c r="M25" s="242"/>
      <c r="N25" s="243"/>
      <c r="O25" s="241" t="s">
        <v>191</v>
      </c>
      <c r="P25" s="242"/>
      <c r="Q25" s="243"/>
      <c r="R25" s="244" t="s">
        <v>173</v>
      </c>
      <c r="S25" s="245"/>
      <c r="T25" s="245"/>
      <c r="U25" s="245"/>
      <c r="V25" s="245"/>
      <c r="W25" s="245"/>
      <c r="X25" s="245"/>
      <c r="Y25" s="245"/>
      <c r="Z25" s="246"/>
      <c r="AA25" s="69" t="s">
        <v>95</v>
      </c>
      <c r="AB25" s="102" t="s">
        <v>60</v>
      </c>
      <c r="AC25" s="100" t="s">
        <v>82</v>
      </c>
      <c r="AD25" s="247"/>
      <c r="AE25" s="247"/>
      <c r="AF25" s="248"/>
      <c r="AG25" s="54"/>
      <c r="AH25" s="54"/>
      <c r="AI25" s="63"/>
      <c r="AJ25" s="10"/>
      <c r="AK25" s="10"/>
      <c r="AL25" s="54"/>
      <c r="AM25" s="54"/>
    </row>
    <row r="26" spans="1:39" x14ac:dyDescent="0.3">
      <c r="A26" s="106"/>
      <c r="B26" s="89" t="s">
        <v>289</v>
      </c>
      <c r="C26" s="236" t="s">
        <v>290</v>
      </c>
      <c r="D26" s="237"/>
      <c r="E26" s="238"/>
      <c r="F26" s="21" t="s">
        <v>288</v>
      </c>
      <c r="G26" s="71" t="s">
        <v>3</v>
      </c>
      <c r="H26" s="239" t="s">
        <v>3</v>
      </c>
      <c r="I26" s="240"/>
      <c r="J26" s="240"/>
      <c r="K26" s="240"/>
      <c r="L26" s="241" t="s">
        <v>174</v>
      </c>
      <c r="M26" s="242"/>
      <c r="N26" s="243"/>
      <c r="O26" s="241" t="s">
        <v>172</v>
      </c>
      <c r="P26" s="242"/>
      <c r="Q26" s="243"/>
      <c r="R26" s="244" t="s">
        <v>175</v>
      </c>
      <c r="S26" s="245"/>
      <c r="T26" s="245"/>
      <c r="U26" s="245"/>
      <c r="V26" s="245"/>
      <c r="W26" s="245"/>
      <c r="X26" s="245"/>
      <c r="Y26" s="245"/>
      <c r="Z26" s="246"/>
      <c r="AA26" s="69" t="s">
        <v>61</v>
      </c>
      <c r="AB26" s="102" t="s">
        <v>61</v>
      </c>
      <c r="AC26" s="100" t="s">
        <v>169</v>
      </c>
      <c r="AD26" s="247" t="s">
        <v>176</v>
      </c>
      <c r="AE26" s="247"/>
      <c r="AF26" s="248"/>
      <c r="AG26" s="54"/>
      <c r="AH26" s="54"/>
      <c r="AI26" s="63"/>
      <c r="AJ26" s="10"/>
      <c r="AK26" s="10"/>
      <c r="AL26" s="54"/>
      <c r="AM26" s="54"/>
    </row>
    <row r="27" spans="1:39" x14ac:dyDescent="0.3">
      <c r="A27" s="106"/>
      <c r="B27" s="89" t="s">
        <v>291</v>
      </c>
      <c r="C27" s="236" t="s">
        <v>292</v>
      </c>
      <c r="D27" s="237"/>
      <c r="E27" s="238"/>
      <c r="F27" s="21" t="s">
        <v>288</v>
      </c>
      <c r="G27" s="71" t="s">
        <v>99</v>
      </c>
      <c r="H27" s="239" t="s">
        <v>2</v>
      </c>
      <c r="I27" s="240"/>
      <c r="J27" s="240"/>
      <c r="K27" s="240"/>
      <c r="L27" s="241" t="s">
        <v>177</v>
      </c>
      <c r="M27" s="242"/>
      <c r="N27" s="243"/>
      <c r="O27" s="241" t="s">
        <v>172</v>
      </c>
      <c r="P27" s="242"/>
      <c r="Q27" s="243"/>
      <c r="R27" s="244" t="s">
        <v>175</v>
      </c>
      <c r="S27" s="245"/>
      <c r="T27" s="245"/>
      <c r="U27" s="245"/>
      <c r="V27" s="245"/>
      <c r="W27" s="245"/>
      <c r="X27" s="245"/>
      <c r="Y27" s="245"/>
      <c r="Z27" s="246"/>
      <c r="AA27" s="69" t="s">
        <v>96</v>
      </c>
      <c r="AB27" s="102" t="s">
        <v>62</v>
      </c>
      <c r="AC27" s="100" t="s">
        <v>169</v>
      </c>
      <c r="AD27" s="247" t="s">
        <v>178</v>
      </c>
      <c r="AE27" s="247"/>
      <c r="AF27" s="248"/>
      <c r="AG27" s="54"/>
      <c r="AH27" s="54"/>
      <c r="AI27" s="63"/>
      <c r="AJ27" s="10"/>
      <c r="AK27" s="10"/>
      <c r="AL27" s="54"/>
      <c r="AM27" s="54"/>
    </row>
    <row r="28" spans="1:39" x14ac:dyDescent="0.3">
      <c r="A28" s="106"/>
      <c r="B28" s="89" t="s">
        <v>293</v>
      </c>
      <c r="C28" s="236" t="s">
        <v>294</v>
      </c>
      <c r="D28" s="237"/>
      <c r="E28" s="238"/>
      <c r="F28" s="21" t="s">
        <v>288</v>
      </c>
      <c r="G28" s="71" t="s">
        <v>100</v>
      </c>
      <c r="H28" s="239" t="s">
        <v>63</v>
      </c>
      <c r="I28" s="240"/>
      <c r="J28" s="240"/>
      <c r="K28" s="240"/>
      <c r="L28" s="241" t="s">
        <v>179</v>
      </c>
      <c r="M28" s="242"/>
      <c r="N28" s="243"/>
      <c r="O28" s="241" t="s">
        <v>172</v>
      </c>
      <c r="P28" s="242"/>
      <c r="Q28" s="243"/>
      <c r="R28" s="244" t="s">
        <v>175</v>
      </c>
      <c r="S28" s="245"/>
      <c r="T28" s="245"/>
      <c r="U28" s="245"/>
      <c r="V28" s="245"/>
      <c r="W28" s="245"/>
      <c r="X28" s="245"/>
      <c r="Y28" s="245"/>
      <c r="Z28" s="246"/>
      <c r="AA28" s="69" t="s">
        <v>97</v>
      </c>
      <c r="AB28" s="102" t="s">
        <v>64</v>
      </c>
      <c r="AC28" s="100" t="s">
        <v>169</v>
      </c>
      <c r="AD28" s="247" t="s">
        <v>254</v>
      </c>
      <c r="AE28" s="247"/>
      <c r="AF28" s="248"/>
      <c r="AG28" s="54"/>
      <c r="AH28" s="54"/>
      <c r="AI28" s="63"/>
      <c r="AJ28" s="10"/>
      <c r="AK28" s="10"/>
      <c r="AL28" s="54"/>
      <c r="AM28" s="54"/>
    </row>
    <row r="29" spans="1:39" x14ac:dyDescent="0.3">
      <c r="A29" s="106"/>
      <c r="B29" s="89" t="s">
        <v>295</v>
      </c>
      <c r="C29" s="236" t="s">
        <v>296</v>
      </c>
      <c r="D29" s="237"/>
      <c r="E29" s="238"/>
      <c r="F29" s="21" t="s">
        <v>288</v>
      </c>
      <c r="G29" s="71" t="s">
        <v>101</v>
      </c>
      <c r="H29" s="239" t="s">
        <v>65</v>
      </c>
      <c r="I29" s="240"/>
      <c r="J29" s="240"/>
      <c r="K29" s="240"/>
      <c r="L29" s="241" t="s">
        <v>180</v>
      </c>
      <c r="M29" s="242"/>
      <c r="N29" s="243"/>
      <c r="O29" s="241" t="s">
        <v>172</v>
      </c>
      <c r="P29" s="242"/>
      <c r="Q29" s="243"/>
      <c r="R29" s="244" t="s">
        <v>175</v>
      </c>
      <c r="S29" s="245"/>
      <c r="T29" s="245"/>
      <c r="U29" s="245"/>
      <c r="V29" s="245"/>
      <c r="W29" s="245"/>
      <c r="X29" s="245"/>
      <c r="Y29" s="245"/>
      <c r="Z29" s="246"/>
      <c r="AA29" s="69" t="s">
        <v>66</v>
      </c>
      <c r="AB29" s="102" t="s">
        <v>66</v>
      </c>
      <c r="AC29" s="100" t="s">
        <v>169</v>
      </c>
      <c r="AD29" s="247" t="s">
        <v>254</v>
      </c>
      <c r="AE29" s="247"/>
      <c r="AF29" s="248"/>
      <c r="AG29" s="54"/>
      <c r="AH29" s="54"/>
      <c r="AI29" s="63"/>
      <c r="AJ29" s="10"/>
      <c r="AK29" s="10"/>
      <c r="AL29" s="54"/>
      <c r="AM29" s="54"/>
    </row>
    <row r="30" spans="1:39" ht="15" thickBot="1" x14ac:dyDescent="0.35">
      <c r="A30" s="106"/>
      <c r="B30" s="89" t="s">
        <v>132</v>
      </c>
      <c r="C30" s="236" t="s">
        <v>133</v>
      </c>
      <c r="D30" s="237"/>
      <c r="E30" s="238"/>
      <c r="F30" s="21" t="s">
        <v>134</v>
      </c>
      <c r="G30" s="71" t="s">
        <v>102</v>
      </c>
      <c r="H30" s="239" t="s">
        <v>67</v>
      </c>
      <c r="I30" s="240"/>
      <c r="J30" s="240"/>
      <c r="K30" s="240"/>
      <c r="L30" s="241" t="s">
        <v>181</v>
      </c>
      <c r="M30" s="242"/>
      <c r="N30" s="243"/>
      <c r="O30" s="241" t="s">
        <v>172</v>
      </c>
      <c r="P30" s="242"/>
      <c r="Q30" s="243"/>
      <c r="R30" s="244" t="s">
        <v>175</v>
      </c>
      <c r="S30" s="245"/>
      <c r="T30" s="245"/>
      <c r="U30" s="245"/>
      <c r="V30" s="245"/>
      <c r="W30" s="245"/>
      <c r="X30" s="245"/>
      <c r="Y30" s="245"/>
      <c r="Z30" s="246"/>
      <c r="AA30" s="69" t="s">
        <v>98</v>
      </c>
      <c r="AB30" s="108" t="s">
        <v>68</v>
      </c>
      <c r="AC30" s="84" t="s">
        <v>317</v>
      </c>
      <c r="AD30" s="282" t="s">
        <v>183</v>
      </c>
      <c r="AE30" s="282"/>
      <c r="AF30" s="283"/>
      <c r="AG30" s="54"/>
      <c r="AH30" s="54"/>
      <c r="AI30" s="63"/>
      <c r="AJ30" s="10"/>
      <c r="AK30" s="10"/>
      <c r="AL30" s="54"/>
      <c r="AM30" s="54"/>
    </row>
    <row r="31" spans="1:39" ht="15" thickBot="1" x14ac:dyDescent="0.35">
      <c r="A31" s="106"/>
      <c r="B31" s="89" t="s">
        <v>135</v>
      </c>
      <c r="C31" s="236" t="s">
        <v>136</v>
      </c>
      <c r="D31" s="237"/>
      <c r="E31" s="238"/>
      <c r="F31" s="21" t="s">
        <v>137</v>
      </c>
      <c r="G31" s="71" t="s">
        <v>103</v>
      </c>
      <c r="H31" s="239" t="s">
        <v>69</v>
      </c>
      <c r="I31" s="240"/>
      <c r="J31" s="240"/>
      <c r="K31" s="240"/>
      <c r="L31" s="241" t="s">
        <v>184</v>
      </c>
      <c r="M31" s="242"/>
      <c r="N31" s="243"/>
      <c r="O31" s="241" t="s">
        <v>172</v>
      </c>
      <c r="P31" s="242"/>
      <c r="Q31" s="243"/>
      <c r="R31" s="244" t="s">
        <v>175</v>
      </c>
      <c r="S31" s="245"/>
      <c r="T31" s="245"/>
      <c r="U31" s="245"/>
      <c r="V31" s="245"/>
      <c r="W31" s="245"/>
      <c r="X31" s="245"/>
      <c r="Y31" s="245"/>
      <c r="Z31" s="246"/>
      <c r="AA31" s="54"/>
      <c r="AB31" s="289"/>
      <c r="AC31" s="289"/>
      <c r="AD31" s="289"/>
      <c r="AE31" s="289"/>
      <c r="AF31" s="289"/>
      <c r="AG31" s="54"/>
      <c r="AH31" s="54"/>
      <c r="AI31" s="63"/>
      <c r="AJ31" s="10"/>
      <c r="AK31" s="10"/>
      <c r="AL31" s="54"/>
      <c r="AM31" s="54"/>
    </row>
    <row r="32" spans="1:39" x14ac:dyDescent="0.3">
      <c r="A32" s="106"/>
      <c r="B32" s="89" t="s">
        <v>138</v>
      </c>
      <c r="C32" s="236" t="s">
        <v>139</v>
      </c>
      <c r="D32" s="237"/>
      <c r="E32" s="238"/>
      <c r="F32" s="21" t="s">
        <v>137</v>
      </c>
      <c r="G32" s="71" t="s">
        <v>104</v>
      </c>
      <c r="H32" s="239" t="s">
        <v>70</v>
      </c>
      <c r="I32" s="240"/>
      <c r="J32" s="240"/>
      <c r="K32" s="240"/>
      <c r="L32" s="241" t="s">
        <v>318</v>
      </c>
      <c r="M32" s="242"/>
      <c r="N32" s="243"/>
      <c r="O32" s="241" t="s">
        <v>172</v>
      </c>
      <c r="P32" s="242"/>
      <c r="Q32" s="243"/>
      <c r="R32" s="244" t="s">
        <v>319</v>
      </c>
      <c r="S32" s="245"/>
      <c r="T32" s="245"/>
      <c r="U32" s="245"/>
      <c r="V32" s="245"/>
      <c r="W32" s="245"/>
      <c r="X32" s="245"/>
      <c r="Y32" s="245"/>
      <c r="Z32" s="246"/>
      <c r="AA32" s="54"/>
      <c r="AB32" s="30" t="s">
        <v>71</v>
      </c>
      <c r="AC32" s="290" t="s">
        <v>72</v>
      </c>
      <c r="AD32" s="291"/>
      <c r="AE32" s="31"/>
      <c r="AF32" s="32" t="s">
        <v>73</v>
      </c>
      <c r="AG32" s="54"/>
      <c r="AH32" s="54"/>
      <c r="AI32" s="63"/>
      <c r="AJ32" s="10"/>
      <c r="AK32" s="10"/>
      <c r="AL32" s="54"/>
      <c r="AM32" s="54"/>
    </row>
    <row r="33" spans="1:39" x14ac:dyDescent="0.3">
      <c r="A33" s="106"/>
      <c r="B33" s="89" t="s">
        <v>140</v>
      </c>
      <c r="C33" s="236" t="s">
        <v>141</v>
      </c>
      <c r="D33" s="237"/>
      <c r="E33" s="238"/>
      <c r="F33" s="21" t="s">
        <v>137</v>
      </c>
      <c r="G33" s="71" t="s">
        <v>105</v>
      </c>
      <c r="H33" s="284" t="s">
        <v>74</v>
      </c>
      <c r="I33" s="285"/>
      <c r="J33" s="285"/>
      <c r="K33" s="286"/>
      <c r="L33" s="241" t="s">
        <v>186</v>
      </c>
      <c r="M33" s="242"/>
      <c r="N33" s="243"/>
      <c r="O33" s="241" t="s">
        <v>172</v>
      </c>
      <c r="P33" s="242"/>
      <c r="Q33" s="243"/>
      <c r="R33" s="244" t="s">
        <v>175</v>
      </c>
      <c r="S33" s="245"/>
      <c r="T33" s="245"/>
      <c r="U33" s="245"/>
      <c r="V33" s="245"/>
      <c r="W33" s="245"/>
      <c r="X33" s="245"/>
      <c r="Y33" s="245"/>
      <c r="Z33" s="246"/>
      <c r="AA33" s="54"/>
      <c r="AB33" s="24"/>
      <c r="AC33" s="287"/>
      <c r="AD33" s="288"/>
      <c r="AE33" s="106"/>
      <c r="AF33" s="26"/>
      <c r="AG33" s="54"/>
      <c r="AH33" s="54"/>
      <c r="AI33" s="63"/>
      <c r="AJ33" s="10"/>
      <c r="AK33" s="10"/>
      <c r="AL33" s="54"/>
      <c r="AM33" s="54"/>
    </row>
    <row r="34" spans="1:39" x14ac:dyDescent="0.3">
      <c r="A34" s="106"/>
      <c r="B34" s="89" t="s">
        <v>142</v>
      </c>
      <c r="C34" s="236" t="s">
        <v>143</v>
      </c>
      <c r="D34" s="237"/>
      <c r="E34" s="238"/>
      <c r="F34" s="21" t="s">
        <v>144</v>
      </c>
      <c r="G34" s="71" t="s">
        <v>106</v>
      </c>
      <c r="H34" s="239" t="s">
        <v>75</v>
      </c>
      <c r="I34" s="240"/>
      <c r="J34" s="240"/>
      <c r="K34" s="240"/>
      <c r="L34" s="241" t="s">
        <v>83</v>
      </c>
      <c r="M34" s="242"/>
      <c r="N34" s="243"/>
      <c r="O34" s="241" t="s">
        <v>187</v>
      </c>
      <c r="P34" s="242"/>
      <c r="Q34" s="243"/>
      <c r="R34" s="244">
        <v>44298</v>
      </c>
      <c r="S34" s="245"/>
      <c r="T34" s="245"/>
      <c r="U34" s="245"/>
      <c r="V34" s="245"/>
      <c r="W34" s="245"/>
      <c r="X34" s="245"/>
      <c r="Y34" s="245"/>
      <c r="Z34" s="246"/>
      <c r="AA34" s="54"/>
      <c r="AB34" s="24"/>
      <c r="AC34" s="287"/>
      <c r="AD34" s="288"/>
      <c r="AE34" s="106"/>
      <c r="AF34" s="26"/>
      <c r="AG34" s="54"/>
      <c r="AH34" s="54"/>
      <c r="AI34" s="63"/>
      <c r="AJ34" s="10"/>
      <c r="AK34" s="10"/>
      <c r="AL34" s="54"/>
      <c r="AM34" s="54"/>
    </row>
    <row r="35" spans="1:39" x14ac:dyDescent="0.3">
      <c r="A35" s="106"/>
      <c r="B35" s="89" t="s">
        <v>297</v>
      </c>
      <c r="C35" s="236" t="s">
        <v>298</v>
      </c>
      <c r="D35" s="237"/>
      <c r="E35" s="238"/>
      <c r="F35" s="21" t="s">
        <v>299</v>
      </c>
      <c r="G35" s="71" t="s">
        <v>5</v>
      </c>
      <c r="H35" s="239" t="s">
        <v>5</v>
      </c>
      <c r="I35" s="240"/>
      <c r="J35" s="240"/>
      <c r="K35" s="240"/>
      <c r="L35" s="241" t="s">
        <v>320</v>
      </c>
      <c r="M35" s="242"/>
      <c r="N35" s="243"/>
      <c r="O35" s="241" t="s">
        <v>191</v>
      </c>
      <c r="P35" s="242"/>
      <c r="Q35" s="243"/>
      <c r="R35" s="244" t="s">
        <v>173</v>
      </c>
      <c r="S35" s="245"/>
      <c r="T35" s="245"/>
      <c r="U35" s="245"/>
      <c r="V35" s="245"/>
      <c r="W35" s="245"/>
      <c r="X35" s="245"/>
      <c r="Y35" s="245"/>
      <c r="Z35" s="246"/>
      <c r="AA35" s="54"/>
      <c r="AB35" s="24"/>
      <c r="AC35" s="287"/>
      <c r="AD35" s="288"/>
      <c r="AE35" s="106"/>
      <c r="AF35" s="26"/>
      <c r="AG35" s="54"/>
      <c r="AH35" s="54"/>
      <c r="AI35" s="63"/>
      <c r="AJ35" s="10"/>
      <c r="AK35" s="10"/>
      <c r="AL35" s="54"/>
      <c r="AM35" s="54"/>
    </row>
    <row r="36" spans="1:39" x14ac:dyDescent="0.3">
      <c r="A36" s="106"/>
      <c r="B36" s="89" t="s">
        <v>300</v>
      </c>
      <c r="C36" s="236" t="s">
        <v>301</v>
      </c>
      <c r="D36" s="237"/>
      <c r="E36" s="238"/>
      <c r="F36" s="21" t="s">
        <v>302</v>
      </c>
      <c r="G36" s="71" t="s">
        <v>107</v>
      </c>
      <c r="H36" s="239" t="s">
        <v>76</v>
      </c>
      <c r="I36" s="240"/>
      <c r="J36" s="240"/>
      <c r="K36" s="240"/>
      <c r="L36" s="241" t="s">
        <v>321</v>
      </c>
      <c r="M36" s="242"/>
      <c r="N36" s="243"/>
      <c r="O36" s="241" t="s">
        <v>191</v>
      </c>
      <c r="P36" s="242"/>
      <c r="Q36" s="243"/>
      <c r="R36" s="244" t="s">
        <v>173</v>
      </c>
      <c r="S36" s="245"/>
      <c r="T36" s="245"/>
      <c r="U36" s="245"/>
      <c r="V36" s="245"/>
      <c r="W36" s="245"/>
      <c r="X36" s="245"/>
      <c r="Y36" s="245"/>
      <c r="Z36" s="246"/>
      <c r="AA36" s="54"/>
      <c r="AB36" s="24"/>
      <c r="AC36" s="287"/>
      <c r="AD36" s="288"/>
      <c r="AE36" s="106"/>
      <c r="AF36" s="26"/>
      <c r="AG36" s="54"/>
      <c r="AH36" s="54"/>
      <c r="AI36" s="63"/>
      <c r="AJ36" s="10"/>
      <c r="AK36" s="10"/>
      <c r="AL36" s="54"/>
      <c r="AM36" s="54"/>
    </row>
    <row r="37" spans="1:39" x14ac:dyDescent="0.3">
      <c r="A37" s="106"/>
      <c r="B37" s="89" t="s">
        <v>303</v>
      </c>
      <c r="C37" s="236" t="s">
        <v>304</v>
      </c>
      <c r="D37" s="237"/>
      <c r="E37" s="238"/>
      <c r="F37" s="21" t="s">
        <v>302</v>
      </c>
      <c r="G37" s="71" t="s">
        <v>108</v>
      </c>
      <c r="H37" s="239" t="s">
        <v>77</v>
      </c>
      <c r="I37" s="240"/>
      <c r="J37" s="240"/>
      <c r="K37" s="240"/>
      <c r="L37" s="241" t="s">
        <v>322</v>
      </c>
      <c r="M37" s="242"/>
      <c r="N37" s="243"/>
      <c r="O37" s="241" t="s">
        <v>191</v>
      </c>
      <c r="P37" s="242"/>
      <c r="Q37" s="243"/>
      <c r="R37" s="244" t="s">
        <v>173</v>
      </c>
      <c r="S37" s="245"/>
      <c r="T37" s="245"/>
      <c r="U37" s="245"/>
      <c r="V37" s="245"/>
      <c r="W37" s="245"/>
      <c r="X37" s="245"/>
      <c r="Y37" s="245"/>
      <c r="Z37" s="246"/>
      <c r="AA37" s="54"/>
      <c r="AB37" s="24"/>
      <c r="AC37" s="287"/>
      <c r="AD37" s="288"/>
      <c r="AE37" s="106"/>
      <c r="AF37" s="26"/>
      <c r="AG37" s="54"/>
      <c r="AH37" s="54"/>
      <c r="AI37" s="63"/>
      <c r="AJ37" s="10"/>
      <c r="AK37" s="10"/>
      <c r="AL37" s="54"/>
      <c r="AM37" s="54"/>
    </row>
    <row r="38" spans="1:39" x14ac:dyDescent="0.3">
      <c r="A38" s="106"/>
      <c r="B38" s="89" t="s">
        <v>305</v>
      </c>
      <c r="C38" s="236" t="s">
        <v>306</v>
      </c>
      <c r="D38" s="237"/>
      <c r="E38" s="238"/>
      <c r="F38" s="21" t="s">
        <v>302</v>
      </c>
      <c r="G38" s="71" t="s">
        <v>109</v>
      </c>
      <c r="H38" s="239" t="s">
        <v>78</v>
      </c>
      <c r="I38" s="240"/>
      <c r="J38" s="240"/>
      <c r="K38" s="240"/>
      <c r="L38" s="241" t="s">
        <v>323</v>
      </c>
      <c r="M38" s="242"/>
      <c r="N38" s="243"/>
      <c r="O38" s="241" t="s">
        <v>191</v>
      </c>
      <c r="P38" s="242"/>
      <c r="Q38" s="243"/>
      <c r="R38" s="244" t="s">
        <v>173</v>
      </c>
      <c r="S38" s="245"/>
      <c r="T38" s="245"/>
      <c r="U38" s="245"/>
      <c r="V38" s="245"/>
      <c r="W38" s="245"/>
      <c r="X38" s="245"/>
      <c r="Y38" s="245"/>
      <c r="Z38" s="246"/>
      <c r="AA38" s="54"/>
      <c r="AB38" s="24"/>
      <c r="AC38" s="287"/>
      <c r="AD38" s="288"/>
      <c r="AE38" s="106"/>
      <c r="AF38" s="26"/>
      <c r="AG38" s="54"/>
      <c r="AH38" s="54"/>
      <c r="AI38" s="63"/>
      <c r="AJ38" s="10"/>
      <c r="AK38" s="10"/>
      <c r="AL38" s="54"/>
      <c r="AM38" s="54"/>
    </row>
    <row r="39" spans="1:39" ht="15" thickBot="1" x14ac:dyDescent="0.35">
      <c r="A39" s="106"/>
      <c r="B39" s="89" t="s">
        <v>307</v>
      </c>
      <c r="C39" s="236" t="s">
        <v>308</v>
      </c>
      <c r="D39" s="237"/>
      <c r="E39" s="238"/>
      <c r="F39" s="21" t="s">
        <v>309</v>
      </c>
      <c r="G39" s="71" t="s">
        <v>79</v>
      </c>
      <c r="H39" s="239" t="s">
        <v>79</v>
      </c>
      <c r="I39" s="240"/>
      <c r="J39" s="240"/>
      <c r="K39" s="240"/>
      <c r="L39" s="241" t="s">
        <v>324</v>
      </c>
      <c r="M39" s="242"/>
      <c r="N39" s="243"/>
      <c r="O39" s="241" t="s">
        <v>191</v>
      </c>
      <c r="P39" s="242"/>
      <c r="Q39" s="243"/>
      <c r="R39" s="244" t="s">
        <v>173</v>
      </c>
      <c r="S39" s="245"/>
      <c r="T39" s="245"/>
      <c r="U39" s="245"/>
      <c r="V39" s="245"/>
      <c r="W39" s="245"/>
      <c r="X39" s="245"/>
      <c r="Y39" s="245"/>
      <c r="Z39" s="246"/>
      <c r="AA39" s="54"/>
      <c r="AB39" s="25"/>
      <c r="AC39" s="321"/>
      <c r="AD39" s="322"/>
      <c r="AE39" s="106"/>
      <c r="AF39" s="27"/>
      <c r="AG39" s="54"/>
      <c r="AH39" s="54"/>
      <c r="AI39" s="63"/>
      <c r="AJ39" s="10"/>
      <c r="AK39" s="10"/>
      <c r="AL39" s="54"/>
      <c r="AM39" s="54"/>
    </row>
    <row r="40" spans="1:39" x14ac:dyDescent="0.3">
      <c r="A40" s="106"/>
      <c r="B40" s="89" t="s">
        <v>310</v>
      </c>
      <c r="C40" s="236" t="s">
        <v>311</v>
      </c>
      <c r="D40" s="237"/>
      <c r="E40" s="238"/>
      <c r="F40" s="21" t="s">
        <v>312</v>
      </c>
      <c r="G40" s="71" t="s">
        <v>110</v>
      </c>
      <c r="H40" s="239" t="s">
        <v>80</v>
      </c>
      <c r="I40" s="240"/>
      <c r="J40" s="240"/>
      <c r="K40" s="240"/>
      <c r="L40" s="241" t="s">
        <v>325</v>
      </c>
      <c r="M40" s="242"/>
      <c r="N40" s="243"/>
      <c r="O40" s="241" t="s">
        <v>191</v>
      </c>
      <c r="P40" s="242"/>
      <c r="Q40" s="243"/>
      <c r="R40" s="244" t="s">
        <v>173</v>
      </c>
      <c r="S40" s="245"/>
      <c r="T40" s="245"/>
      <c r="U40" s="245"/>
      <c r="V40" s="245"/>
      <c r="W40" s="245"/>
      <c r="X40" s="245"/>
      <c r="Y40" s="245"/>
      <c r="Z40" s="246"/>
      <c r="AA40" s="54"/>
      <c r="AB40" s="106"/>
      <c r="AC40" s="106"/>
      <c r="AD40" s="106"/>
      <c r="AE40" s="106"/>
      <c r="AF40" s="106"/>
      <c r="AG40" s="54"/>
      <c r="AH40" s="54"/>
      <c r="AI40" s="63"/>
      <c r="AJ40" s="10"/>
      <c r="AK40" s="10"/>
      <c r="AL40" s="54"/>
      <c r="AM40" s="54"/>
    </row>
    <row r="41" spans="1:39" x14ac:dyDescent="0.3">
      <c r="A41" s="106"/>
      <c r="B41" s="89" t="s">
        <v>145</v>
      </c>
      <c r="C41" s="236" t="s">
        <v>146</v>
      </c>
      <c r="D41" s="237"/>
      <c r="E41" s="238"/>
      <c r="F41" s="21" t="s">
        <v>147</v>
      </c>
      <c r="G41" s="71" t="s">
        <v>111</v>
      </c>
      <c r="H41" s="239" t="s">
        <v>81</v>
      </c>
      <c r="I41" s="240"/>
      <c r="J41" s="240"/>
      <c r="K41" s="240"/>
      <c r="L41" s="241" t="s">
        <v>83</v>
      </c>
      <c r="M41" s="242"/>
      <c r="N41" s="243"/>
      <c r="O41" s="241" t="s">
        <v>83</v>
      </c>
      <c r="P41" s="242"/>
      <c r="Q41" s="243"/>
      <c r="R41" s="244" t="s">
        <v>83</v>
      </c>
      <c r="S41" s="245"/>
      <c r="T41" s="245"/>
      <c r="U41" s="245"/>
      <c r="V41" s="245"/>
      <c r="W41" s="245"/>
      <c r="X41" s="245"/>
      <c r="Y41" s="245"/>
      <c r="Z41" s="246"/>
      <c r="AA41" s="54"/>
      <c r="AB41" s="106"/>
      <c r="AC41" s="106"/>
      <c r="AD41" s="106"/>
      <c r="AE41" s="106"/>
      <c r="AF41" s="106"/>
      <c r="AG41" s="54"/>
      <c r="AH41" s="54"/>
      <c r="AI41" s="63"/>
      <c r="AJ41" s="10"/>
      <c r="AK41" s="10"/>
      <c r="AL41" s="54"/>
      <c r="AM41" s="54"/>
    </row>
    <row r="42" spans="1:39" x14ac:dyDescent="0.3">
      <c r="A42" s="106"/>
      <c r="B42" s="89" t="s">
        <v>313</v>
      </c>
      <c r="C42" s="236" t="s">
        <v>314</v>
      </c>
      <c r="D42" s="237"/>
      <c r="E42" s="238"/>
      <c r="F42" s="21" t="s">
        <v>147</v>
      </c>
      <c r="G42" s="71" t="s">
        <v>14</v>
      </c>
      <c r="H42" s="239" t="s">
        <v>88</v>
      </c>
      <c r="I42" s="240"/>
      <c r="J42" s="240"/>
      <c r="K42" s="240"/>
      <c r="L42" s="241"/>
      <c r="M42" s="242"/>
      <c r="N42" s="243"/>
      <c r="O42" s="241"/>
      <c r="P42" s="242"/>
      <c r="Q42" s="243"/>
      <c r="R42" s="244"/>
      <c r="S42" s="245"/>
      <c r="T42" s="245"/>
      <c r="U42" s="245"/>
      <c r="V42" s="245"/>
      <c r="W42" s="245"/>
      <c r="X42" s="245"/>
      <c r="Y42" s="245"/>
      <c r="Z42" s="246"/>
      <c r="AA42" s="54"/>
      <c r="AB42" s="106"/>
      <c r="AC42" s="106"/>
      <c r="AD42" s="106"/>
      <c r="AE42" s="106"/>
      <c r="AF42" s="106"/>
      <c r="AG42" s="54"/>
      <c r="AH42" s="54"/>
      <c r="AI42" s="63"/>
      <c r="AJ42" s="10"/>
      <c r="AK42" s="10"/>
      <c r="AL42" s="54"/>
      <c r="AM42" s="54"/>
    </row>
    <row r="43" spans="1:39" ht="15" thickBot="1" x14ac:dyDescent="0.35">
      <c r="A43" s="106"/>
      <c r="B43" s="90"/>
      <c r="C43" s="292"/>
      <c r="D43" s="293"/>
      <c r="E43" s="294"/>
      <c r="F43" s="60"/>
      <c r="G43" s="54"/>
      <c r="H43" s="295"/>
      <c r="I43" s="296"/>
      <c r="J43" s="296"/>
      <c r="K43" s="296"/>
      <c r="L43" s="297"/>
      <c r="M43" s="298"/>
      <c r="N43" s="299"/>
      <c r="O43" s="300"/>
      <c r="P43" s="301"/>
      <c r="Q43" s="302"/>
      <c r="R43" s="303"/>
      <c r="S43" s="304"/>
      <c r="T43" s="304"/>
      <c r="U43" s="304"/>
      <c r="V43" s="304"/>
      <c r="W43" s="304"/>
      <c r="X43" s="304"/>
      <c r="Y43" s="304"/>
      <c r="Z43" s="305"/>
      <c r="AA43" s="54"/>
      <c r="AB43" s="106"/>
      <c r="AC43" s="106"/>
      <c r="AD43" s="106"/>
      <c r="AE43" s="106"/>
      <c r="AF43" s="106"/>
      <c r="AG43" s="54"/>
      <c r="AH43" s="54"/>
      <c r="AI43" s="63"/>
      <c r="AJ43" s="10"/>
      <c r="AK43" s="10"/>
      <c r="AL43" s="54"/>
      <c r="AM43" s="54"/>
    </row>
    <row r="44" spans="1:39" ht="15" customHeight="1" x14ac:dyDescent="0.3">
      <c r="A44" s="106"/>
      <c r="B44" s="15"/>
      <c r="C44" s="106"/>
      <c r="D44" s="106"/>
      <c r="E44" s="15"/>
      <c r="F44" s="106"/>
      <c r="G44" s="54"/>
      <c r="H44" s="106"/>
      <c r="I44" s="106"/>
      <c r="J44" s="106"/>
      <c r="K44" s="106"/>
      <c r="L44" s="106"/>
      <c r="M44" s="106"/>
      <c r="N44" s="106"/>
      <c r="O44" s="106"/>
      <c r="P44" s="106"/>
      <c r="Q44" s="106"/>
      <c r="R44" s="106"/>
      <c r="S44" s="106"/>
      <c r="T44" s="106"/>
      <c r="U44" s="106"/>
      <c r="V44" s="106"/>
      <c r="W44" s="106"/>
      <c r="X44" s="106"/>
      <c r="Y44" s="106"/>
      <c r="Z44" s="106"/>
      <c r="AA44" s="54"/>
      <c r="AB44" s="106"/>
      <c r="AC44" s="106"/>
      <c r="AD44" s="106"/>
      <c r="AE44" s="106"/>
      <c r="AF44" s="106"/>
      <c r="AG44" s="54"/>
      <c r="AH44" s="54"/>
      <c r="AI44" s="63"/>
      <c r="AJ44" s="10"/>
      <c r="AK44" s="10"/>
      <c r="AL44" s="54"/>
      <c r="AM44" s="54"/>
    </row>
    <row r="45" spans="1:39" ht="15" customHeight="1" x14ac:dyDescent="0.3">
      <c r="A45" s="54"/>
      <c r="B45" s="2"/>
      <c r="C45" s="54"/>
      <c r="D45" s="54"/>
      <c r="E45" s="2"/>
      <c r="F45" s="54"/>
      <c r="G45" s="54"/>
      <c r="H45" s="106"/>
      <c r="I45" s="106"/>
      <c r="J45" s="106"/>
      <c r="K45" s="106"/>
      <c r="L45" s="106"/>
      <c r="M45" s="106"/>
      <c r="N45" s="106"/>
      <c r="O45" s="106"/>
      <c r="P45" s="106"/>
      <c r="Q45" s="106"/>
      <c r="R45" s="106"/>
      <c r="S45" s="106"/>
      <c r="T45" s="106"/>
      <c r="U45" s="106"/>
      <c r="V45" s="106"/>
      <c r="W45" s="106"/>
      <c r="X45" s="106"/>
      <c r="Y45" s="106"/>
      <c r="Z45" s="106"/>
      <c r="AA45" s="54"/>
      <c r="AB45" s="106"/>
      <c r="AC45" s="106"/>
      <c r="AD45" s="106"/>
      <c r="AE45" s="106"/>
      <c r="AF45" s="106"/>
      <c r="AG45" s="54"/>
      <c r="AH45" s="54"/>
      <c r="AI45" s="63"/>
      <c r="AJ45" s="10"/>
      <c r="AK45" s="10"/>
      <c r="AL45" s="54"/>
      <c r="AM45" s="54"/>
    </row>
    <row r="46" spans="1:39" ht="15" customHeight="1" x14ac:dyDescent="0.3">
      <c r="A46" s="54"/>
      <c r="B46" s="2"/>
      <c r="C46" s="54"/>
      <c r="D46" s="54"/>
      <c r="E46" s="2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63"/>
      <c r="AJ46" s="10"/>
      <c r="AK46" s="10"/>
      <c r="AL46" s="54"/>
      <c r="AM46" s="54"/>
    </row>
    <row r="47" spans="1:39" ht="15" customHeight="1" x14ac:dyDescent="0.3">
      <c r="A47" s="54"/>
      <c r="B47" s="2"/>
      <c r="C47" s="54"/>
      <c r="D47" s="54"/>
      <c r="E47" s="2"/>
      <c r="F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63"/>
      <c r="AJ47" s="10"/>
      <c r="AK47" s="10"/>
      <c r="AL47" s="54"/>
      <c r="AM47" s="54"/>
    </row>
    <row r="48" spans="1:39" ht="15" customHeight="1" x14ac:dyDescent="0.3"/>
    <row r="49" ht="15" customHeight="1" x14ac:dyDescent="0.3"/>
    <row r="50" ht="15" customHeight="1" x14ac:dyDescent="0.3"/>
  </sheetData>
  <mergeCells count="203">
    <mergeCell ref="V3:W3"/>
    <mergeCell ref="H4:H5"/>
    <mergeCell ref="E7:E8"/>
    <mergeCell ref="F7:F8"/>
    <mergeCell ref="G7:I8"/>
    <mergeCell ref="J7:Q7"/>
    <mergeCell ref="R7:W7"/>
    <mergeCell ref="J8:K8"/>
    <mergeCell ref="L8:M8"/>
    <mergeCell ref="N8:O8"/>
    <mergeCell ref="H2:H3"/>
    <mergeCell ref="J2:Q2"/>
    <mergeCell ref="R2:W2"/>
    <mergeCell ref="J3:K3"/>
    <mergeCell ref="L3:M3"/>
    <mergeCell ref="N3:O3"/>
    <mergeCell ref="P3:Q3"/>
    <mergeCell ref="R3:S3"/>
    <mergeCell ref="T3:U3"/>
    <mergeCell ref="P8:Q8"/>
    <mergeCell ref="R8:S8"/>
    <mergeCell ref="T8:U8"/>
    <mergeCell ref="V8:W8"/>
    <mergeCell ref="G9:I9"/>
    <mergeCell ref="J9:K9"/>
    <mergeCell ref="L9:M9"/>
    <mergeCell ref="N9:O9"/>
    <mergeCell ref="P9:Q9"/>
    <mergeCell ref="R9:S9"/>
    <mergeCell ref="T9:U9"/>
    <mergeCell ref="V9:W9"/>
    <mergeCell ref="G10:I10"/>
    <mergeCell ref="J10:K10"/>
    <mergeCell ref="L10:M10"/>
    <mergeCell ref="N10:O10"/>
    <mergeCell ref="P10:Q10"/>
    <mergeCell ref="R10:S10"/>
    <mergeCell ref="T10:U10"/>
    <mergeCell ref="V10:W10"/>
    <mergeCell ref="Y13:Z13"/>
    <mergeCell ref="AA13:AC13"/>
    <mergeCell ref="AD13:AF13"/>
    <mergeCell ref="Y14:Z21"/>
    <mergeCell ref="AA14:AC21"/>
    <mergeCell ref="AD14:AF21"/>
    <mergeCell ref="T11:U11"/>
    <mergeCell ref="V11:W11"/>
    <mergeCell ref="G13:I13"/>
    <mergeCell ref="J13:K13"/>
    <mergeCell ref="L13:M13"/>
    <mergeCell ref="N13:O13"/>
    <mergeCell ref="P13:Q13"/>
    <mergeCell ref="R13:S13"/>
    <mergeCell ref="T13:U13"/>
    <mergeCell ref="V13:W13"/>
    <mergeCell ref="G11:I11"/>
    <mergeCell ref="J11:K11"/>
    <mergeCell ref="L11:M11"/>
    <mergeCell ref="N11:O11"/>
    <mergeCell ref="P11:Q11"/>
    <mergeCell ref="R11:S11"/>
    <mergeCell ref="Y2:AF11"/>
    <mergeCell ref="S18:W18"/>
    <mergeCell ref="J19:J20"/>
    <mergeCell ref="K19:K20"/>
    <mergeCell ref="L19:R20"/>
    <mergeCell ref="S19:W20"/>
    <mergeCell ref="B20:H21"/>
    <mergeCell ref="L21:R21"/>
    <mergeCell ref="S21:W21"/>
    <mergeCell ref="F15:H15"/>
    <mergeCell ref="J15:R15"/>
    <mergeCell ref="S15:W15"/>
    <mergeCell ref="E16:E18"/>
    <mergeCell ref="F16:H18"/>
    <mergeCell ref="L16:R16"/>
    <mergeCell ref="S16:W16"/>
    <mergeCell ref="L17:R17"/>
    <mergeCell ref="S17:W17"/>
    <mergeCell ref="L18:R18"/>
    <mergeCell ref="C24:E24"/>
    <mergeCell ref="H24:K24"/>
    <mergeCell ref="L24:N24"/>
    <mergeCell ref="O24:Q24"/>
    <mergeCell ref="R24:Z24"/>
    <mergeCell ref="AD24:AF24"/>
    <mergeCell ref="C23:E23"/>
    <mergeCell ref="H23:K23"/>
    <mergeCell ref="L23:N23"/>
    <mergeCell ref="O23:Q23"/>
    <mergeCell ref="R23:Z23"/>
    <mergeCell ref="AD23:AF23"/>
    <mergeCell ref="C26:E26"/>
    <mergeCell ref="H26:K26"/>
    <mergeCell ref="L26:N26"/>
    <mergeCell ref="O26:Q26"/>
    <mergeCell ref="R26:Z26"/>
    <mergeCell ref="AD26:AF26"/>
    <mergeCell ref="C25:E25"/>
    <mergeCell ref="H25:K25"/>
    <mergeCell ref="L25:N25"/>
    <mergeCell ref="O25:Q25"/>
    <mergeCell ref="R25:Z25"/>
    <mergeCell ref="AD25:AF25"/>
    <mergeCell ref="C28:E28"/>
    <mergeCell ref="H28:K28"/>
    <mergeCell ref="L28:N28"/>
    <mergeCell ref="O28:Q28"/>
    <mergeCell ref="R28:Z28"/>
    <mergeCell ref="AD28:AF28"/>
    <mergeCell ref="C27:E27"/>
    <mergeCell ref="H27:K27"/>
    <mergeCell ref="L27:N27"/>
    <mergeCell ref="O27:Q27"/>
    <mergeCell ref="R27:Z27"/>
    <mergeCell ref="AD27:AF27"/>
    <mergeCell ref="C30:E30"/>
    <mergeCell ref="H30:K30"/>
    <mergeCell ref="L30:N30"/>
    <mergeCell ref="O30:Q30"/>
    <mergeCell ref="R30:Z30"/>
    <mergeCell ref="AD30:AF30"/>
    <mergeCell ref="C29:E29"/>
    <mergeCell ref="H29:K29"/>
    <mergeCell ref="L29:N29"/>
    <mergeCell ref="O29:Q29"/>
    <mergeCell ref="R29:Z29"/>
    <mergeCell ref="AD29:AF29"/>
    <mergeCell ref="C33:E33"/>
    <mergeCell ref="H33:K33"/>
    <mergeCell ref="L33:N33"/>
    <mergeCell ref="O33:Q33"/>
    <mergeCell ref="R33:Z33"/>
    <mergeCell ref="AC33:AD33"/>
    <mergeCell ref="AD31:AF31"/>
    <mergeCell ref="C32:E32"/>
    <mergeCell ref="H32:K32"/>
    <mergeCell ref="L32:N32"/>
    <mergeCell ref="O32:Q32"/>
    <mergeCell ref="R32:Z32"/>
    <mergeCell ref="AC32:AD32"/>
    <mergeCell ref="C31:E31"/>
    <mergeCell ref="H31:K31"/>
    <mergeCell ref="L31:N31"/>
    <mergeCell ref="O31:Q31"/>
    <mergeCell ref="R31:Z31"/>
    <mergeCell ref="AB31:AC31"/>
    <mergeCell ref="C35:E35"/>
    <mergeCell ref="H35:K35"/>
    <mergeCell ref="L35:N35"/>
    <mergeCell ref="O35:Q35"/>
    <mergeCell ref="R35:Z35"/>
    <mergeCell ref="AC35:AD35"/>
    <mergeCell ref="C34:E34"/>
    <mergeCell ref="H34:K34"/>
    <mergeCell ref="L34:N34"/>
    <mergeCell ref="O34:Q34"/>
    <mergeCell ref="R34:Z34"/>
    <mergeCell ref="AC34:AD34"/>
    <mergeCell ref="C37:E37"/>
    <mergeCell ref="H37:K37"/>
    <mergeCell ref="L37:N37"/>
    <mergeCell ref="O37:Q37"/>
    <mergeCell ref="R37:Z37"/>
    <mergeCell ref="AC37:AD37"/>
    <mergeCell ref="C36:E36"/>
    <mergeCell ref="H36:K36"/>
    <mergeCell ref="L36:N36"/>
    <mergeCell ref="O36:Q36"/>
    <mergeCell ref="R36:Z36"/>
    <mergeCell ref="AC36:AD36"/>
    <mergeCell ref="C39:E39"/>
    <mergeCell ref="H39:K39"/>
    <mergeCell ref="L39:N39"/>
    <mergeCell ref="O39:Q39"/>
    <mergeCell ref="R39:Z39"/>
    <mergeCell ref="AC39:AD39"/>
    <mergeCell ref="C38:E38"/>
    <mergeCell ref="H38:K38"/>
    <mergeCell ref="L38:N38"/>
    <mergeCell ref="O38:Q38"/>
    <mergeCell ref="R38:Z38"/>
    <mergeCell ref="AC38:AD38"/>
    <mergeCell ref="C40:E40"/>
    <mergeCell ref="H40:K40"/>
    <mergeCell ref="L40:N40"/>
    <mergeCell ref="O40:Q40"/>
    <mergeCell ref="R40:Z40"/>
    <mergeCell ref="C41:E41"/>
    <mergeCell ref="H41:K41"/>
    <mergeCell ref="L41:N41"/>
    <mergeCell ref="O41:Q41"/>
    <mergeCell ref="R41:Z41"/>
    <mergeCell ref="C42:E42"/>
    <mergeCell ref="H42:K42"/>
    <mergeCell ref="L42:N42"/>
    <mergeCell ref="O42:Q42"/>
    <mergeCell ref="R42:Z42"/>
    <mergeCell ref="C43:E43"/>
    <mergeCell ref="H43:K43"/>
    <mergeCell ref="L43:N43"/>
    <mergeCell ref="O43:Q43"/>
    <mergeCell ref="R43:Z43"/>
  </mergeCells>
  <conditionalFormatting sqref="F3:F5">
    <cfRule type="cellIs" dxfId="47" priority="10" operator="greaterThan">
      <formula>0.895</formula>
    </cfRule>
    <cfRule type="cellIs" dxfId="46" priority="11" operator="greaterThan">
      <formula>0.845</formula>
    </cfRule>
    <cfRule type="cellIs" dxfId="45" priority="12" operator="lessThan">
      <formula>0.85</formula>
    </cfRule>
  </conditionalFormatting>
  <conditionalFormatting sqref="H4:H5">
    <cfRule type="cellIs" dxfId="44" priority="8" operator="equal">
      <formula>"↓"</formula>
    </cfRule>
    <cfRule type="cellIs" dxfId="43" priority="9" operator="equal">
      <formula>"↑"</formula>
    </cfRule>
  </conditionalFormatting>
  <conditionalFormatting sqref="S16:W21">
    <cfRule type="expression" dxfId="42" priority="7">
      <formula>AND(ISNUMBER(S16),S16&lt;TODAY())</formula>
    </cfRule>
  </conditionalFormatting>
  <conditionalFormatting sqref="G10:W10">
    <cfRule type="cellIs" dxfId="41" priority="6" operator="greaterThan">
      <formula>G9</formula>
    </cfRule>
  </conditionalFormatting>
  <conditionalFormatting sqref="G11:W11">
    <cfRule type="cellIs" dxfId="40" priority="5" operator="greaterThan">
      <formula>0</formula>
    </cfRule>
  </conditionalFormatting>
  <conditionalFormatting sqref="O24:O43">
    <cfRule type="expression" dxfId="39" priority="4">
      <formula>OR(NOT(ISERROR(SEARCH("COMPLETE",O24))),NOT(ISERROR(SEARCH("RELEASED",O24))))</formula>
    </cfRule>
  </conditionalFormatting>
  <conditionalFormatting sqref="O24:Q43">
    <cfRule type="expression" dxfId="38" priority="3">
      <formula>NOT(ISERROR(SEARCH("ECO",O24)))</formula>
    </cfRule>
  </conditionalFormatting>
  <conditionalFormatting sqref="F24:F43">
    <cfRule type="expression" dxfId="37" priority="1">
      <formula>AND($F24&gt;0,DATEVALUE(RIGHT($F24,2)&amp;"-"&amp;MID($F24,6,3)&amp;"-"&amp;LEFT($F24,4))&lt;TODAY())</formula>
    </cfRule>
    <cfRule type="expression" dxfId="36" priority="2">
      <formula>AND($F24&gt;0,DATEVALUE(RIGHT($F24,2)&amp;"-"&amp;MID($F24,6,3)&amp;"-"&amp;LEFT($F24+$A$28,4))&lt;TODAY()+7)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UpdateCurrent">
                <anchor moveWithCells="1">
                  <from>
                    <xdr:col>37</xdr:col>
                    <xdr:colOff>297180</xdr:colOff>
                    <xdr:row>0</xdr:row>
                    <xdr:rowOff>0</xdr:rowOff>
                  </from>
                  <to>
                    <xdr:col>38</xdr:col>
                    <xdr:colOff>601980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83527-70E3-49B1-A1FE-1AE986A37AC1}">
  <sheetPr codeName="Sheet9"/>
  <dimension ref="A1:AM50"/>
  <sheetViews>
    <sheetView showGridLines="0" zoomScaleNormal="100" workbookViewId="0"/>
  </sheetViews>
  <sheetFormatPr defaultRowHeight="14.4" x14ac:dyDescent="0.3"/>
  <cols>
    <col min="1" max="1" width="0.44140625" customWidth="1"/>
    <col min="2" max="2" width="15.88671875" customWidth="1"/>
    <col min="3" max="3" width="15.33203125" customWidth="1"/>
    <col min="4" max="4" width="0.6640625" customWidth="1"/>
    <col min="5" max="5" width="12.88671875" customWidth="1"/>
    <col min="6" max="6" width="16" customWidth="1"/>
    <col min="7" max="7" width="0.5546875" customWidth="1"/>
    <col min="8" max="8" width="12.88671875" customWidth="1"/>
    <col min="9" max="9" width="0.5546875" customWidth="1"/>
    <col min="10" max="23" width="6.5546875" customWidth="1"/>
    <col min="24" max="24" width="0.6640625" customWidth="1"/>
    <col min="25" max="25" width="13.6640625" customWidth="1"/>
    <col min="26" max="26" width="9.44140625" customWidth="1"/>
    <col min="27" max="27" width="0.5546875" customWidth="1"/>
    <col min="28" max="28" width="12.5546875" customWidth="1"/>
    <col min="29" max="30" width="11.44140625" customWidth="1"/>
    <col min="31" max="31" width="0.88671875" customWidth="1"/>
    <col min="32" max="32" width="12.88671875" customWidth="1"/>
    <col min="35" max="35" width="12.5546875" style="64" customWidth="1"/>
    <col min="36" max="37" width="9.109375" style="65"/>
  </cols>
  <sheetData>
    <row r="1" spans="1:39" ht="2.25" customHeight="1" thickBot="1" x14ac:dyDescent="0.35">
      <c r="A1" s="31" t="s">
        <v>130</v>
      </c>
      <c r="B1" s="15"/>
      <c r="C1" s="106"/>
      <c r="D1" s="54"/>
      <c r="E1" s="2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63" t="s">
        <v>115</v>
      </c>
      <c r="AJ1" s="10" t="s">
        <v>30</v>
      </c>
      <c r="AK1" s="10" t="s">
        <v>29</v>
      </c>
      <c r="AL1" s="54"/>
      <c r="AM1" s="54"/>
    </row>
    <row r="2" spans="1:39" ht="15.75" customHeight="1" thickBot="1" x14ac:dyDescent="0.35">
      <c r="A2" s="106"/>
      <c r="B2" s="107" t="s">
        <v>1</v>
      </c>
      <c r="C2" s="72" t="s">
        <v>120</v>
      </c>
      <c r="D2" s="54"/>
      <c r="E2" s="99" t="s">
        <v>92</v>
      </c>
      <c r="F2" s="62">
        <v>44323</v>
      </c>
      <c r="G2" s="1"/>
      <c r="H2" s="163" t="s">
        <v>8</v>
      </c>
      <c r="I2" s="1"/>
      <c r="J2" s="164" t="s">
        <v>9</v>
      </c>
      <c r="K2" s="164"/>
      <c r="L2" s="164"/>
      <c r="M2" s="164"/>
      <c r="N2" s="164"/>
      <c r="O2" s="164"/>
      <c r="P2" s="164"/>
      <c r="Q2" s="164"/>
      <c r="R2" s="165" t="s">
        <v>10</v>
      </c>
      <c r="S2" s="165"/>
      <c r="T2" s="165"/>
      <c r="U2" s="165"/>
      <c r="V2" s="165"/>
      <c r="W2" s="166"/>
      <c r="X2" s="54"/>
      <c r="Y2" s="167"/>
      <c r="Z2" s="167"/>
      <c r="AA2" s="167"/>
      <c r="AB2" s="167"/>
      <c r="AC2" s="167"/>
      <c r="AD2" s="167"/>
      <c r="AE2" s="167"/>
      <c r="AF2" s="168"/>
      <c r="AG2" s="54"/>
      <c r="AH2" s="54"/>
      <c r="AI2" s="63">
        <v>44313</v>
      </c>
      <c r="AJ2" s="10">
        <v>0.33</v>
      </c>
      <c r="AK2" s="10"/>
      <c r="AL2" s="54"/>
      <c r="AM2" s="54"/>
    </row>
    <row r="3" spans="1:39" ht="15" customHeight="1" thickBot="1" x14ac:dyDescent="0.35">
      <c r="A3" s="106"/>
      <c r="B3" s="33" t="s">
        <v>11</v>
      </c>
      <c r="C3" s="73" t="s">
        <v>326</v>
      </c>
      <c r="D3" s="54"/>
      <c r="E3" s="33" t="s">
        <v>93</v>
      </c>
      <c r="F3" s="85"/>
      <c r="G3" s="1"/>
      <c r="H3" s="163"/>
      <c r="I3" s="1"/>
      <c r="J3" s="171" t="s">
        <v>12</v>
      </c>
      <c r="K3" s="171"/>
      <c r="L3" s="171" t="s">
        <v>13</v>
      </c>
      <c r="M3" s="171"/>
      <c r="N3" s="171" t="s">
        <v>14</v>
      </c>
      <c r="O3" s="172"/>
      <c r="P3" s="171" t="s">
        <v>6</v>
      </c>
      <c r="Q3" s="171"/>
      <c r="R3" s="171" t="s">
        <v>12</v>
      </c>
      <c r="S3" s="171"/>
      <c r="T3" s="171" t="s">
        <v>13</v>
      </c>
      <c r="U3" s="172"/>
      <c r="V3" s="171" t="s">
        <v>6</v>
      </c>
      <c r="W3" s="173"/>
      <c r="X3" s="54"/>
      <c r="Y3" s="167"/>
      <c r="Z3" s="167"/>
      <c r="AA3" s="167"/>
      <c r="AB3" s="167"/>
      <c r="AC3" s="167"/>
      <c r="AD3" s="167"/>
      <c r="AE3" s="167"/>
      <c r="AF3" s="168"/>
      <c r="AG3" s="54"/>
      <c r="AH3" s="54"/>
      <c r="AI3" s="63"/>
      <c r="AJ3" s="10"/>
      <c r="AK3" s="10"/>
      <c r="AL3" s="54"/>
      <c r="AM3" s="54"/>
    </row>
    <row r="4" spans="1:39" ht="15" customHeight="1" thickBot="1" x14ac:dyDescent="0.35">
      <c r="A4" s="106"/>
      <c r="B4" s="34" t="s">
        <v>15</v>
      </c>
      <c r="C4" s="74">
        <v>431775</v>
      </c>
      <c r="D4" s="54"/>
      <c r="E4" s="33" t="s">
        <v>116</v>
      </c>
      <c r="F4" s="86">
        <v>0</v>
      </c>
      <c r="G4" s="1"/>
      <c r="H4" s="174" t="e">
        <f>IF(VALUE(LEFT(F10,FIND("(",F10)-1))/VALUE(LEFT(F13,FIND("(",F13)-1))&gt;1.2,"↑",IF(VALUE(LEFT(F10,FIND("(",F10)-1))/VALUE(LEFT(F13,FIND("(",F13)-1))&lt;0.8,"↓","🗘"))</f>
        <v>#VALUE!</v>
      </c>
      <c r="I4" s="1"/>
      <c r="J4" s="3" t="s">
        <v>16</v>
      </c>
      <c r="K4" s="4" t="s">
        <v>17</v>
      </c>
      <c r="L4" s="3" t="s">
        <v>16</v>
      </c>
      <c r="M4" s="5" t="s">
        <v>17</v>
      </c>
      <c r="N4" s="3" t="s">
        <v>16</v>
      </c>
      <c r="O4" s="4" t="s">
        <v>17</v>
      </c>
      <c r="P4" s="3" t="s">
        <v>16</v>
      </c>
      <c r="Q4" s="5" t="s">
        <v>17</v>
      </c>
      <c r="R4" s="6" t="s">
        <v>16</v>
      </c>
      <c r="S4" s="4" t="s">
        <v>17</v>
      </c>
      <c r="T4" s="7" t="s">
        <v>16</v>
      </c>
      <c r="U4" s="5" t="s">
        <v>17</v>
      </c>
      <c r="V4" s="6" t="s">
        <v>16</v>
      </c>
      <c r="W4" s="4" t="s">
        <v>17</v>
      </c>
      <c r="X4" s="54"/>
      <c r="Y4" s="167"/>
      <c r="Z4" s="167"/>
      <c r="AA4" s="167"/>
      <c r="AB4" s="167"/>
      <c r="AC4" s="167"/>
      <c r="AD4" s="167"/>
      <c r="AE4" s="167"/>
      <c r="AF4" s="168"/>
      <c r="AG4" s="54"/>
      <c r="AI4" s="63"/>
      <c r="AJ4" s="10"/>
      <c r="AK4" s="10"/>
      <c r="AL4" s="54"/>
      <c r="AM4" s="54"/>
    </row>
    <row r="5" spans="1:39" ht="15.75" customHeight="1" thickBot="1" x14ac:dyDescent="0.35">
      <c r="A5" s="106"/>
      <c r="B5" s="35" t="s">
        <v>19</v>
      </c>
      <c r="C5" s="75" t="s">
        <v>82</v>
      </c>
      <c r="D5" s="54"/>
      <c r="E5" s="35" t="s">
        <v>91</v>
      </c>
      <c r="F5" s="87"/>
      <c r="G5" s="1"/>
      <c r="H5" s="175"/>
      <c r="I5" s="1"/>
      <c r="J5" s="38">
        <v>1265</v>
      </c>
      <c r="K5" s="39"/>
      <c r="L5" s="40">
        <v>353</v>
      </c>
      <c r="M5" s="41"/>
      <c r="N5" s="40">
        <v>0</v>
      </c>
      <c r="O5" s="42"/>
      <c r="P5" s="38">
        <v>0</v>
      </c>
      <c r="Q5" s="43"/>
      <c r="R5" s="44">
        <v>500</v>
      </c>
      <c r="S5" s="45"/>
      <c r="T5" s="46">
        <v>167</v>
      </c>
      <c r="U5" s="47"/>
      <c r="V5" s="44">
        <v>0</v>
      </c>
      <c r="W5" s="45"/>
      <c r="X5" s="54"/>
      <c r="Y5" s="167"/>
      <c r="Z5" s="167"/>
      <c r="AA5" s="167"/>
      <c r="AB5" s="167"/>
      <c r="AC5" s="167"/>
      <c r="AD5" s="167"/>
      <c r="AE5" s="167"/>
      <c r="AF5" s="168"/>
      <c r="AG5" s="54"/>
      <c r="AH5" s="54"/>
      <c r="AI5" s="63"/>
      <c r="AJ5" s="10"/>
      <c r="AK5" s="10"/>
      <c r="AL5" s="54"/>
      <c r="AM5" s="54"/>
    </row>
    <row r="6" spans="1:39" ht="3.75" customHeight="1" thickBot="1" x14ac:dyDescent="0.35">
      <c r="A6" s="106"/>
      <c r="B6" s="15"/>
      <c r="C6" s="76"/>
      <c r="D6" s="8"/>
      <c r="E6" s="2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167"/>
      <c r="Z6" s="167"/>
      <c r="AA6" s="167"/>
      <c r="AB6" s="167"/>
      <c r="AC6" s="167"/>
      <c r="AD6" s="167"/>
      <c r="AE6" s="167"/>
      <c r="AF6" s="168"/>
      <c r="AG6" s="54"/>
      <c r="AH6" s="54"/>
      <c r="AI6" s="63"/>
      <c r="AJ6" s="10"/>
      <c r="AK6" s="10"/>
      <c r="AL6" s="54"/>
      <c r="AM6" s="54"/>
    </row>
    <row r="7" spans="1:39" ht="15.75" customHeight="1" thickBot="1" x14ac:dyDescent="0.35">
      <c r="A7" s="106"/>
      <c r="B7" s="104" t="s">
        <v>22</v>
      </c>
      <c r="C7" s="77"/>
      <c r="D7" s="9"/>
      <c r="E7" s="186" t="s">
        <v>23</v>
      </c>
      <c r="F7" s="187" t="s">
        <v>24</v>
      </c>
      <c r="G7" s="188" t="s">
        <v>0</v>
      </c>
      <c r="H7" s="188"/>
      <c r="I7" s="188"/>
      <c r="J7" s="189" t="s">
        <v>9</v>
      </c>
      <c r="K7" s="189"/>
      <c r="L7" s="189"/>
      <c r="M7" s="189"/>
      <c r="N7" s="189"/>
      <c r="O7" s="189"/>
      <c r="P7" s="189"/>
      <c r="Q7" s="189"/>
      <c r="R7" s="165" t="s">
        <v>10</v>
      </c>
      <c r="S7" s="190"/>
      <c r="T7" s="190"/>
      <c r="U7" s="190"/>
      <c r="V7" s="190"/>
      <c r="W7" s="191"/>
      <c r="X7" s="54"/>
      <c r="Y7" s="167"/>
      <c r="Z7" s="167"/>
      <c r="AA7" s="167"/>
      <c r="AB7" s="167"/>
      <c r="AC7" s="167"/>
      <c r="AD7" s="167"/>
      <c r="AE7" s="167"/>
      <c r="AF7" s="168"/>
      <c r="AG7" s="54"/>
      <c r="AH7" s="54"/>
      <c r="AI7" s="63"/>
      <c r="AJ7" s="10"/>
      <c r="AK7" s="10"/>
      <c r="AL7" s="54"/>
      <c r="AM7" s="54"/>
    </row>
    <row r="8" spans="1:39" ht="15.75" customHeight="1" thickBot="1" x14ac:dyDescent="0.35">
      <c r="A8" s="106"/>
      <c r="B8" s="36" t="s">
        <v>25</v>
      </c>
      <c r="C8" s="78"/>
      <c r="D8" s="9"/>
      <c r="E8" s="186"/>
      <c r="F8" s="187"/>
      <c r="G8" s="188"/>
      <c r="H8" s="188"/>
      <c r="I8" s="188"/>
      <c r="J8" s="192" t="s">
        <v>12</v>
      </c>
      <c r="K8" s="192"/>
      <c r="L8" s="192" t="s">
        <v>13</v>
      </c>
      <c r="M8" s="171"/>
      <c r="N8" s="192" t="s">
        <v>14</v>
      </c>
      <c r="O8" s="172"/>
      <c r="P8" s="192" t="s">
        <v>6</v>
      </c>
      <c r="Q8" s="171"/>
      <c r="R8" s="192" t="s">
        <v>12</v>
      </c>
      <c r="S8" s="173"/>
      <c r="T8" s="192" t="s">
        <v>13</v>
      </c>
      <c r="U8" s="173"/>
      <c r="V8" s="192" t="s">
        <v>6</v>
      </c>
      <c r="W8" s="172"/>
      <c r="X8" s="54"/>
      <c r="Y8" s="167"/>
      <c r="Z8" s="167"/>
      <c r="AA8" s="167"/>
      <c r="AB8" s="167"/>
      <c r="AC8" s="167"/>
      <c r="AD8" s="167"/>
      <c r="AE8" s="167"/>
      <c r="AF8" s="168"/>
      <c r="AG8" s="54"/>
      <c r="AH8" s="54"/>
      <c r="AI8" s="63"/>
      <c r="AJ8" s="10"/>
      <c r="AK8" s="10"/>
      <c r="AL8" s="54"/>
      <c r="AM8" s="54"/>
    </row>
    <row r="9" spans="1:39" ht="15.75" customHeight="1" thickBot="1" x14ac:dyDescent="0.35">
      <c r="A9" s="106"/>
      <c r="B9" s="36" t="s">
        <v>28</v>
      </c>
      <c r="C9" s="78"/>
      <c r="D9" s="9"/>
      <c r="E9" s="51" t="s">
        <v>29</v>
      </c>
      <c r="F9" s="48"/>
      <c r="G9" s="176"/>
      <c r="H9" s="176"/>
      <c r="I9" s="176"/>
      <c r="J9" s="177"/>
      <c r="K9" s="177"/>
      <c r="L9" s="177"/>
      <c r="M9" s="178"/>
      <c r="N9" s="177"/>
      <c r="O9" s="179"/>
      <c r="P9" s="177"/>
      <c r="Q9" s="178"/>
      <c r="R9" s="177"/>
      <c r="S9" s="179"/>
      <c r="T9" s="177"/>
      <c r="U9" s="180"/>
      <c r="V9" s="177"/>
      <c r="W9" s="179"/>
      <c r="X9" s="54"/>
      <c r="Y9" s="167"/>
      <c r="Z9" s="167"/>
      <c r="AA9" s="167"/>
      <c r="AB9" s="167"/>
      <c r="AC9" s="167"/>
      <c r="AD9" s="167"/>
      <c r="AE9" s="167"/>
      <c r="AF9" s="168"/>
      <c r="AG9" s="54"/>
      <c r="AH9" s="54"/>
      <c r="AI9" s="63"/>
      <c r="AJ9" s="10"/>
      <c r="AK9" s="10"/>
      <c r="AL9" s="54"/>
      <c r="AM9" s="54"/>
    </row>
    <row r="10" spans="1:39" ht="15.75" customHeight="1" thickBot="1" x14ac:dyDescent="0.35">
      <c r="A10" s="106"/>
      <c r="B10" s="36" t="s">
        <v>7</v>
      </c>
      <c r="C10" s="78"/>
      <c r="D10" s="9"/>
      <c r="E10" s="51" t="s">
        <v>86</v>
      </c>
      <c r="F10" s="49"/>
      <c r="G10" s="181">
        <v>1138721</v>
      </c>
      <c r="H10" s="181"/>
      <c r="I10" s="181"/>
      <c r="J10" s="182">
        <f>SUM(J5:K5)</f>
        <v>1265</v>
      </c>
      <c r="K10" s="182"/>
      <c r="L10" s="183">
        <f>SUM(L5:M5)</f>
        <v>353</v>
      </c>
      <c r="M10" s="184"/>
      <c r="N10" s="183">
        <f>SUM(N5:O5)</f>
        <v>0</v>
      </c>
      <c r="O10" s="185"/>
      <c r="P10" s="182">
        <f>SUM(P5:Q5)</f>
        <v>0</v>
      </c>
      <c r="Q10" s="193"/>
      <c r="R10" s="182">
        <f>SUM(R5:S5)</f>
        <v>500</v>
      </c>
      <c r="S10" s="194"/>
      <c r="T10" s="182">
        <f>SUM(T5:U5)</f>
        <v>167</v>
      </c>
      <c r="U10" s="195"/>
      <c r="V10" s="182">
        <f>SUM(V5:W5)</f>
        <v>0</v>
      </c>
      <c r="W10" s="194"/>
      <c r="X10" s="54"/>
      <c r="Y10" s="167"/>
      <c r="Z10" s="167"/>
      <c r="AA10" s="167"/>
      <c r="AB10" s="167"/>
      <c r="AC10" s="167"/>
      <c r="AD10" s="167"/>
      <c r="AE10" s="167"/>
      <c r="AF10" s="168"/>
      <c r="AG10" s="54"/>
      <c r="AH10" s="54"/>
      <c r="AI10" s="63"/>
      <c r="AJ10" s="10"/>
      <c r="AK10" s="10"/>
      <c r="AL10" s="54"/>
      <c r="AM10" s="54"/>
    </row>
    <row r="11" spans="1:39" ht="15.75" customHeight="1" thickBot="1" x14ac:dyDescent="0.35">
      <c r="A11" s="106"/>
      <c r="B11" s="37" t="s">
        <v>32</v>
      </c>
      <c r="C11" s="79"/>
      <c r="D11" s="9"/>
      <c r="E11" s="52" t="s">
        <v>84</v>
      </c>
      <c r="F11" s="88" t="e">
        <f>VALUE(LEFT(F9,FIND("(",F9)-1))-VALUE(LEFT(F10,FIND("(",F10)-1))</f>
        <v>#VALUE!</v>
      </c>
      <c r="G11" s="196">
        <f>G9-G10</f>
        <v>-1138721</v>
      </c>
      <c r="H11" s="196"/>
      <c r="I11" s="196"/>
      <c r="J11" s="197">
        <f>J9-J10</f>
        <v>-1265</v>
      </c>
      <c r="K11" s="197"/>
      <c r="L11" s="198">
        <f>L9-L10</f>
        <v>-353</v>
      </c>
      <c r="M11" s="199"/>
      <c r="N11" s="200">
        <f>N9-N10</f>
        <v>0</v>
      </c>
      <c r="O11" s="201"/>
      <c r="P11" s="197">
        <f>P9-P10</f>
        <v>0</v>
      </c>
      <c r="Q11" s="202"/>
      <c r="R11" s="200">
        <f>R9-R10</f>
        <v>-500</v>
      </c>
      <c r="S11" s="201"/>
      <c r="T11" s="200">
        <f>T9-T10</f>
        <v>-167</v>
      </c>
      <c r="U11" s="203"/>
      <c r="V11" s="200">
        <f>V9-V10</f>
        <v>0</v>
      </c>
      <c r="W11" s="201"/>
      <c r="X11" s="54"/>
      <c r="Y11" s="169"/>
      <c r="Z11" s="169"/>
      <c r="AA11" s="169"/>
      <c r="AB11" s="169"/>
      <c r="AC11" s="169"/>
      <c r="AD11" s="169"/>
      <c r="AE11" s="169"/>
      <c r="AF11" s="170"/>
      <c r="AG11" s="54"/>
      <c r="AH11" s="54"/>
      <c r="AI11" s="63"/>
      <c r="AJ11" s="10"/>
      <c r="AK11" s="10"/>
      <c r="AL11" s="54"/>
      <c r="AM11" s="54"/>
    </row>
    <row r="12" spans="1:39" ht="3" customHeight="1" thickBot="1" x14ac:dyDescent="0.35">
      <c r="A12" s="106"/>
      <c r="B12" s="15"/>
      <c r="C12" s="80"/>
      <c r="D12" s="54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63"/>
      <c r="AJ12" s="10"/>
      <c r="AK12" s="10"/>
      <c r="AL12" s="54"/>
      <c r="AM12" s="54"/>
    </row>
    <row r="13" spans="1:39" ht="15.75" customHeight="1" thickBot="1" x14ac:dyDescent="0.35">
      <c r="A13" s="106"/>
      <c r="B13" s="104" t="s">
        <v>33</v>
      </c>
      <c r="C13" s="81"/>
      <c r="D13" s="54"/>
      <c r="E13" s="109" t="s">
        <v>35</v>
      </c>
      <c r="F13" s="50" t="s">
        <v>87</v>
      </c>
      <c r="G13" s="232"/>
      <c r="H13" s="232"/>
      <c r="I13" s="232"/>
      <c r="J13" s="223">
        <v>0</v>
      </c>
      <c r="K13" s="223"/>
      <c r="L13" s="233">
        <v>0</v>
      </c>
      <c r="M13" s="233"/>
      <c r="N13" s="223">
        <v>0</v>
      </c>
      <c r="O13" s="224"/>
      <c r="P13" s="223">
        <v>0</v>
      </c>
      <c r="Q13" s="233"/>
      <c r="R13" s="223">
        <v>0</v>
      </c>
      <c r="S13" s="224"/>
      <c r="T13" s="221">
        <v>0</v>
      </c>
      <c r="U13" s="222"/>
      <c r="V13" s="223">
        <v>0</v>
      </c>
      <c r="W13" s="224"/>
      <c r="X13" s="54"/>
      <c r="Y13" s="309" t="s">
        <v>117</v>
      </c>
      <c r="Z13" s="308"/>
      <c r="AA13" s="306" t="s">
        <v>118</v>
      </c>
      <c r="AB13" s="307"/>
      <c r="AC13" s="308"/>
      <c r="AD13" s="307" t="s">
        <v>119</v>
      </c>
      <c r="AE13" s="307"/>
      <c r="AF13" s="310"/>
      <c r="AG13" s="54"/>
      <c r="AH13" s="54"/>
      <c r="AI13" s="63"/>
      <c r="AJ13" s="10"/>
      <c r="AK13" s="10"/>
      <c r="AL13" s="54"/>
      <c r="AM13" s="54"/>
    </row>
    <row r="14" spans="1:39" ht="15.75" customHeight="1" thickBot="1" x14ac:dyDescent="0.35">
      <c r="A14" s="106"/>
      <c r="B14" s="36" t="s">
        <v>37</v>
      </c>
      <c r="C14" s="103"/>
      <c r="D14" s="54"/>
      <c r="E14" s="2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319" t="s">
        <v>129</v>
      </c>
      <c r="Z14" s="316"/>
      <c r="AA14" s="315"/>
      <c r="AB14" s="311"/>
      <c r="AC14" s="316"/>
      <c r="AD14" s="311"/>
      <c r="AE14" s="311"/>
      <c r="AF14" s="312"/>
      <c r="AG14" s="54"/>
      <c r="AH14" s="54"/>
      <c r="AI14" s="63"/>
      <c r="AJ14" s="10"/>
      <c r="AK14" s="10"/>
      <c r="AL14" s="54"/>
      <c r="AM14" s="54"/>
    </row>
    <row r="15" spans="1:39" ht="15" customHeight="1" x14ac:dyDescent="0.3">
      <c r="A15" s="106"/>
      <c r="B15" s="36" t="s">
        <v>38</v>
      </c>
      <c r="C15" s="103"/>
      <c r="D15" s="10"/>
      <c r="E15" s="107" t="s">
        <v>39</v>
      </c>
      <c r="F15" s="225" t="s">
        <v>40</v>
      </c>
      <c r="G15" s="226"/>
      <c r="H15" s="227"/>
      <c r="I15" s="54"/>
      <c r="J15" s="228" t="s">
        <v>41</v>
      </c>
      <c r="K15" s="229"/>
      <c r="L15" s="229"/>
      <c r="M15" s="229"/>
      <c r="N15" s="229"/>
      <c r="O15" s="229"/>
      <c r="P15" s="229"/>
      <c r="Q15" s="229"/>
      <c r="R15" s="229"/>
      <c r="S15" s="230" t="s">
        <v>42</v>
      </c>
      <c r="T15" s="230"/>
      <c r="U15" s="230"/>
      <c r="V15" s="230"/>
      <c r="W15" s="231"/>
      <c r="X15" s="54"/>
      <c r="Y15" s="319"/>
      <c r="Z15" s="316"/>
      <c r="AA15" s="315"/>
      <c r="AB15" s="311"/>
      <c r="AC15" s="316"/>
      <c r="AD15" s="311"/>
      <c r="AE15" s="311"/>
      <c r="AF15" s="312"/>
      <c r="AG15" s="63"/>
      <c r="AH15" s="54"/>
      <c r="AI15" s="63"/>
      <c r="AJ15" s="10"/>
      <c r="AK15" s="10"/>
      <c r="AL15" s="54"/>
      <c r="AM15" s="54"/>
    </row>
    <row r="16" spans="1:39" ht="15" customHeight="1" x14ac:dyDescent="0.3">
      <c r="A16" s="106"/>
      <c r="B16" s="36" t="s">
        <v>43</v>
      </c>
      <c r="C16" s="103"/>
      <c r="D16" s="10"/>
      <c r="E16" s="204"/>
      <c r="F16" s="207"/>
      <c r="G16" s="208"/>
      <c r="H16" s="209"/>
      <c r="I16" s="54"/>
      <c r="J16" s="18">
        <v>1</v>
      </c>
      <c r="K16" s="22">
        <v>0.2</v>
      </c>
      <c r="L16" s="216" t="s">
        <v>44</v>
      </c>
      <c r="M16" s="216"/>
      <c r="N16" s="216"/>
      <c r="O16" s="216"/>
      <c r="P16" s="216"/>
      <c r="Q16" s="216"/>
      <c r="R16" s="216"/>
      <c r="S16" s="217" t="s">
        <v>82</v>
      </c>
      <c r="T16" s="217"/>
      <c r="U16" s="217"/>
      <c r="V16" s="217"/>
      <c r="W16" s="218"/>
      <c r="X16" s="54"/>
      <c r="Y16" s="319"/>
      <c r="Z16" s="316"/>
      <c r="AA16" s="315"/>
      <c r="AB16" s="311"/>
      <c r="AC16" s="316"/>
      <c r="AD16" s="311"/>
      <c r="AE16" s="311"/>
      <c r="AF16" s="312"/>
      <c r="AG16" s="54"/>
      <c r="AH16" s="54"/>
      <c r="AI16" s="63"/>
      <c r="AJ16" s="10"/>
      <c r="AK16" s="10"/>
      <c r="AL16" s="54"/>
      <c r="AM16" s="54"/>
    </row>
    <row r="17" spans="1:39" ht="15" customHeight="1" x14ac:dyDescent="0.3">
      <c r="A17" s="106"/>
      <c r="B17" s="36" t="s">
        <v>45</v>
      </c>
      <c r="C17" s="103"/>
      <c r="D17" s="10"/>
      <c r="E17" s="205"/>
      <c r="F17" s="210"/>
      <c r="G17" s="211"/>
      <c r="H17" s="212"/>
      <c r="I17" s="54"/>
      <c r="J17" s="18">
        <v>2</v>
      </c>
      <c r="K17" s="22">
        <v>0.3</v>
      </c>
      <c r="L17" s="216" t="s">
        <v>46</v>
      </c>
      <c r="M17" s="216"/>
      <c r="N17" s="216"/>
      <c r="O17" s="216"/>
      <c r="P17" s="216"/>
      <c r="Q17" s="216"/>
      <c r="R17" s="216"/>
      <c r="S17" s="219" t="s">
        <v>82</v>
      </c>
      <c r="T17" s="219"/>
      <c r="U17" s="219"/>
      <c r="V17" s="219"/>
      <c r="W17" s="220"/>
      <c r="X17" s="54"/>
      <c r="Y17" s="319"/>
      <c r="Z17" s="316"/>
      <c r="AA17" s="315"/>
      <c r="AB17" s="311"/>
      <c r="AC17" s="316"/>
      <c r="AD17" s="311"/>
      <c r="AE17" s="311"/>
      <c r="AF17" s="312"/>
      <c r="AG17" s="54"/>
      <c r="AH17" s="54"/>
      <c r="AI17" s="63"/>
      <c r="AJ17" s="10"/>
      <c r="AK17" s="10"/>
      <c r="AL17" s="54"/>
      <c r="AM17" s="54"/>
    </row>
    <row r="18" spans="1:39" ht="15.75" customHeight="1" thickBot="1" x14ac:dyDescent="0.35">
      <c r="A18" s="106"/>
      <c r="B18" s="37" t="s">
        <v>47</v>
      </c>
      <c r="C18" s="105"/>
      <c r="D18" s="10"/>
      <c r="E18" s="206"/>
      <c r="F18" s="213"/>
      <c r="G18" s="214"/>
      <c r="H18" s="215"/>
      <c r="I18" s="54"/>
      <c r="J18" s="18">
        <v>3</v>
      </c>
      <c r="K18" s="22">
        <v>0.2</v>
      </c>
      <c r="L18" s="216" t="s">
        <v>48</v>
      </c>
      <c r="M18" s="216"/>
      <c r="N18" s="216"/>
      <c r="O18" s="216"/>
      <c r="P18" s="216"/>
      <c r="Q18" s="216"/>
      <c r="R18" s="216"/>
      <c r="S18" s="219" t="s">
        <v>82</v>
      </c>
      <c r="T18" s="219"/>
      <c r="U18" s="219"/>
      <c r="V18" s="219"/>
      <c r="W18" s="220"/>
      <c r="X18" s="54"/>
      <c r="Y18" s="319"/>
      <c r="Z18" s="316"/>
      <c r="AA18" s="315"/>
      <c r="AB18" s="311"/>
      <c r="AC18" s="316"/>
      <c r="AD18" s="311"/>
      <c r="AE18" s="311"/>
      <c r="AF18" s="312"/>
      <c r="AG18" s="54"/>
      <c r="AH18" s="54"/>
      <c r="AI18" s="63"/>
      <c r="AJ18" s="10"/>
      <c r="AK18" s="10"/>
      <c r="AL18" s="54"/>
      <c r="AM18" s="54"/>
    </row>
    <row r="19" spans="1:39" ht="2.25" customHeight="1" thickBot="1" x14ac:dyDescent="0.35">
      <c r="A19" s="106"/>
      <c r="B19" s="16"/>
      <c r="C19" s="59"/>
      <c r="D19" s="10"/>
      <c r="E19" s="11"/>
      <c r="F19" s="17"/>
      <c r="G19" s="17"/>
      <c r="H19" s="17"/>
      <c r="I19" s="54"/>
      <c r="J19" s="266">
        <v>4</v>
      </c>
      <c r="K19" s="268">
        <v>0.1</v>
      </c>
      <c r="L19" s="270" t="s">
        <v>49</v>
      </c>
      <c r="M19" s="271"/>
      <c r="N19" s="271"/>
      <c r="O19" s="271"/>
      <c r="P19" s="271"/>
      <c r="Q19" s="271"/>
      <c r="R19" s="272"/>
      <c r="S19" s="276" t="s">
        <v>82</v>
      </c>
      <c r="T19" s="277"/>
      <c r="U19" s="277"/>
      <c r="V19" s="277"/>
      <c r="W19" s="278"/>
      <c r="X19" s="54"/>
      <c r="Y19" s="319"/>
      <c r="Z19" s="316"/>
      <c r="AA19" s="315"/>
      <c r="AB19" s="311"/>
      <c r="AC19" s="316"/>
      <c r="AD19" s="311"/>
      <c r="AE19" s="311"/>
      <c r="AF19" s="312"/>
      <c r="AG19" s="54"/>
      <c r="AH19" s="54"/>
      <c r="AI19" s="63"/>
      <c r="AJ19" s="10"/>
      <c r="AK19" s="10"/>
      <c r="AL19" s="54"/>
      <c r="AM19" s="54"/>
    </row>
    <row r="20" spans="1:39" ht="15" customHeight="1" x14ac:dyDescent="0.3">
      <c r="A20" s="54"/>
      <c r="B20" s="249"/>
      <c r="C20" s="250"/>
      <c r="D20" s="250"/>
      <c r="E20" s="250"/>
      <c r="F20" s="250"/>
      <c r="G20" s="250"/>
      <c r="H20" s="251"/>
      <c r="I20" s="54"/>
      <c r="J20" s="267"/>
      <c r="K20" s="269"/>
      <c r="L20" s="273"/>
      <c r="M20" s="274"/>
      <c r="N20" s="274"/>
      <c r="O20" s="274"/>
      <c r="P20" s="274"/>
      <c r="Q20" s="274"/>
      <c r="R20" s="275"/>
      <c r="S20" s="279"/>
      <c r="T20" s="280"/>
      <c r="U20" s="280"/>
      <c r="V20" s="280"/>
      <c r="W20" s="281"/>
      <c r="X20" s="54"/>
      <c r="Y20" s="319"/>
      <c r="Z20" s="316"/>
      <c r="AA20" s="315"/>
      <c r="AB20" s="311"/>
      <c r="AC20" s="316"/>
      <c r="AD20" s="311"/>
      <c r="AE20" s="311"/>
      <c r="AF20" s="312"/>
      <c r="AG20" s="54"/>
      <c r="AH20" s="54"/>
      <c r="AI20" s="63"/>
      <c r="AJ20" s="10"/>
      <c r="AK20" s="10"/>
      <c r="AL20" s="54"/>
      <c r="AM20" s="54"/>
    </row>
    <row r="21" spans="1:39" ht="15.75" customHeight="1" thickBot="1" x14ac:dyDescent="0.35">
      <c r="A21" s="54"/>
      <c r="B21" s="252"/>
      <c r="C21" s="253"/>
      <c r="D21" s="253"/>
      <c r="E21" s="253"/>
      <c r="F21" s="253"/>
      <c r="G21" s="253"/>
      <c r="H21" s="254"/>
      <c r="I21" s="54"/>
      <c r="J21" s="19">
        <v>5</v>
      </c>
      <c r="K21" s="23">
        <v>0.2</v>
      </c>
      <c r="L21" s="255" t="s">
        <v>50</v>
      </c>
      <c r="M21" s="255"/>
      <c r="N21" s="255"/>
      <c r="O21" s="255"/>
      <c r="P21" s="255"/>
      <c r="Q21" s="255"/>
      <c r="R21" s="255"/>
      <c r="S21" s="256" t="s">
        <v>82</v>
      </c>
      <c r="T21" s="256"/>
      <c r="U21" s="256"/>
      <c r="V21" s="256"/>
      <c r="W21" s="257"/>
      <c r="X21" s="54"/>
      <c r="Y21" s="320"/>
      <c r="Z21" s="318"/>
      <c r="AA21" s="317"/>
      <c r="AB21" s="313"/>
      <c r="AC21" s="318"/>
      <c r="AD21" s="313"/>
      <c r="AE21" s="313"/>
      <c r="AF21" s="314"/>
      <c r="AG21" s="54"/>
      <c r="AH21" s="54"/>
      <c r="AI21" s="63"/>
      <c r="AJ21" s="10"/>
      <c r="AK21" s="10"/>
      <c r="AL21" s="54"/>
      <c r="AM21" s="54"/>
    </row>
    <row r="22" spans="1:39" ht="2.25" customHeight="1" thickBot="1" x14ac:dyDescent="0.35">
      <c r="A22" s="54"/>
      <c r="B22" s="2"/>
      <c r="C22" s="54"/>
      <c r="D22" s="10"/>
      <c r="E22" s="8"/>
      <c r="F22" s="14"/>
      <c r="G22" s="14"/>
      <c r="H22" s="106"/>
      <c r="I22" s="106"/>
      <c r="J22" s="106"/>
      <c r="K22" s="106"/>
      <c r="L22" s="106"/>
      <c r="M22" s="106"/>
      <c r="N22" s="106"/>
      <c r="O22" s="106"/>
      <c r="P22" s="106"/>
      <c r="Q22" s="106"/>
      <c r="R22" s="106"/>
      <c r="S22" s="106"/>
      <c r="T22" s="106"/>
      <c r="U22" s="106"/>
      <c r="V22" s="106"/>
      <c r="W22" s="106"/>
      <c r="X22" s="106"/>
      <c r="Y22" s="106"/>
      <c r="Z22" s="106"/>
      <c r="AA22" s="106"/>
      <c r="AB22" s="54"/>
      <c r="AC22" s="54"/>
      <c r="AD22" s="54"/>
      <c r="AE22" s="54"/>
      <c r="AF22" s="54"/>
      <c r="AG22" s="54"/>
      <c r="AH22" s="54"/>
      <c r="AI22" s="63"/>
      <c r="AJ22" s="10"/>
      <c r="AK22" s="10"/>
      <c r="AL22" s="54"/>
      <c r="AM22" s="54"/>
    </row>
    <row r="23" spans="1:39" ht="15" customHeight="1" x14ac:dyDescent="0.3">
      <c r="A23" s="106"/>
      <c r="B23" s="28" t="s">
        <v>51</v>
      </c>
      <c r="C23" s="258" t="s">
        <v>52</v>
      </c>
      <c r="D23" s="259"/>
      <c r="E23" s="260"/>
      <c r="F23" s="29" t="s">
        <v>53</v>
      </c>
      <c r="G23" s="13"/>
      <c r="H23" s="261" t="s">
        <v>54</v>
      </c>
      <c r="I23" s="234"/>
      <c r="J23" s="234"/>
      <c r="K23" s="234"/>
      <c r="L23" s="262" t="s">
        <v>51</v>
      </c>
      <c r="M23" s="262"/>
      <c r="N23" s="262"/>
      <c r="O23" s="234" t="s">
        <v>55</v>
      </c>
      <c r="P23" s="234"/>
      <c r="Q23" s="234"/>
      <c r="R23" s="263" t="s">
        <v>56</v>
      </c>
      <c r="S23" s="264"/>
      <c r="T23" s="264"/>
      <c r="U23" s="264"/>
      <c r="V23" s="264"/>
      <c r="W23" s="264"/>
      <c r="X23" s="264"/>
      <c r="Y23" s="264"/>
      <c r="Z23" s="265"/>
      <c r="AA23" s="54"/>
      <c r="AB23" s="104" t="s">
        <v>57</v>
      </c>
      <c r="AC23" s="101" t="s">
        <v>112</v>
      </c>
      <c r="AD23" s="234" t="s">
        <v>40</v>
      </c>
      <c r="AE23" s="234"/>
      <c r="AF23" s="235"/>
      <c r="AG23" s="54"/>
      <c r="AH23" s="54"/>
      <c r="AI23" s="63"/>
      <c r="AJ23" s="10"/>
      <c r="AK23" s="10"/>
      <c r="AL23" s="54"/>
      <c r="AM23" s="54"/>
    </row>
    <row r="24" spans="1:39" ht="15" customHeight="1" x14ac:dyDescent="0.3">
      <c r="A24" s="106"/>
      <c r="B24" s="89" t="s">
        <v>286</v>
      </c>
      <c r="C24" s="236" t="s">
        <v>287</v>
      </c>
      <c r="D24" s="237"/>
      <c r="E24" s="238"/>
      <c r="F24" s="21" t="s">
        <v>288</v>
      </c>
      <c r="G24" s="70" t="s">
        <v>58</v>
      </c>
      <c r="H24" s="239" t="s">
        <v>58</v>
      </c>
      <c r="I24" s="240"/>
      <c r="J24" s="240"/>
      <c r="K24" s="240"/>
      <c r="L24" s="241" t="s">
        <v>83</v>
      </c>
      <c r="M24" s="242"/>
      <c r="N24" s="243"/>
      <c r="O24" s="241" t="s">
        <v>83</v>
      </c>
      <c r="P24" s="242"/>
      <c r="Q24" s="243"/>
      <c r="R24" s="244" t="s">
        <v>168</v>
      </c>
      <c r="S24" s="245"/>
      <c r="T24" s="245"/>
      <c r="U24" s="245"/>
      <c r="V24" s="245"/>
      <c r="W24" s="245"/>
      <c r="X24" s="245"/>
      <c r="Y24" s="245"/>
      <c r="Z24" s="246"/>
      <c r="AA24" s="69" t="s">
        <v>94</v>
      </c>
      <c r="AB24" s="102" t="s">
        <v>59</v>
      </c>
      <c r="AC24" s="100" t="s">
        <v>169</v>
      </c>
      <c r="AD24" s="247" t="s">
        <v>315</v>
      </c>
      <c r="AE24" s="247"/>
      <c r="AF24" s="248"/>
      <c r="AG24" s="54"/>
      <c r="AH24" s="54"/>
      <c r="AI24" s="63"/>
      <c r="AJ24" s="10"/>
      <c r="AK24" s="10"/>
      <c r="AL24" s="54"/>
      <c r="AM24" s="54"/>
    </row>
    <row r="25" spans="1:39" x14ac:dyDescent="0.3">
      <c r="A25" s="106"/>
      <c r="B25" s="89" t="s">
        <v>289</v>
      </c>
      <c r="C25" s="236" t="s">
        <v>290</v>
      </c>
      <c r="D25" s="237"/>
      <c r="E25" s="238"/>
      <c r="F25" s="21" t="s">
        <v>288</v>
      </c>
      <c r="G25" s="71" t="s">
        <v>4</v>
      </c>
      <c r="H25" s="239" t="s">
        <v>4</v>
      </c>
      <c r="I25" s="240"/>
      <c r="J25" s="240"/>
      <c r="K25" s="240"/>
      <c r="L25" s="241" t="s">
        <v>327</v>
      </c>
      <c r="M25" s="242"/>
      <c r="N25" s="243"/>
      <c r="O25" s="241" t="s">
        <v>191</v>
      </c>
      <c r="P25" s="242"/>
      <c r="Q25" s="243"/>
      <c r="R25" s="244" t="s">
        <v>173</v>
      </c>
      <c r="S25" s="245"/>
      <c r="T25" s="245"/>
      <c r="U25" s="245"/>
      <c r="V25" s="245"/>
      <c r="W25" s="245"/>
      <c r="X25" s="245"/>
      <c r="Y25" s="245"/>
      <c r="Z25" s="246"/>
      <c r="AA25" s="69" t="s">
        <v>95</v>
      </c>
      <c r="AB25" s="102" t="s">
        <v>60</v>
      </c>
      <c r="AC25" s="100" t="s">
        <v>82</v>
      </c>
      <c r="AD25" s="247"/>
      <c r="AE25" s="247"/>
      <c r="AF25" s="248"/>
      <c r="AG25" s="54"/>
      <c r="AH25" s="54"/>
      <c r="AI25" s="63"/>
      <c r="AJ25" s="10"/>
      <c r="AK25" s="10"/>
      <c r="AL25" s="54"/>
      <c r="AM25" s="54"/>
    </row>
    <row r="26" spans="1:39" x14ac:dyDescent="0.3">
      <c r="A26" s="106"/>
      <c r="B26" s="89" t="s">
        <v>291</v>
      </c>
      <c r="C26" s="236" t="s">
        <v>292</v>
      </c>
      <c r="D26" s="237"/>
      <c r="E26" s="238"/>
      <c r="F26" s="21" t="s">
        <v>288</v>
      </c>
      <c r="G26" s="71" t="s">
        <v>3</v>
      </c>
      <c r="H26" s="239" t="s">
        <v>3</v>
      </c>
      <c r="I26" s="240"/>
      <c r="J26" s="240"/>
      <c r="K26" s="240"/>
      <c r="L26" s="241" t="s">
        <v>174</v>
      </c>
      <c r="M26" s="242"/>
      <c r="N26" s="243"/>
      <c r="O26" s="241" t="s">
        <v>172</v>
      </c>
      <c r="P26" s="242"/>
      <c r="Q26" s="243"/>
      <c r="R26" s="244" t="s">
        <v>175</v>
      </c>
      <c r="S26" s="245"/>
      <c r="T26" s="245"/>
      <c r="U26" s="245"/>
      <c r="V26" s="245"/>
      <c r="W26" s="245"/>
      <c r="X26" s="245"/>
      <c r="Y26" s="245"/>
      <c r="Z26" s="246"/>
      <c r="AA26" s="69" t="s">
        <v>61</v>
      </c>
      <c r="AB26" s="102" t="s">
        <v>61</v>
      </c>
      <c r="AC26" s="100" t="s">
        <v>169</v>
      </c>
      <c r="AD26" s="247" t="s">
        <v>176</v>
      </c>
      <c r="AE26" s="247"/>
      <c r="AF26" s="248"/>
      <c r="AG26" s="54"/>
      <c r="AH26" s="54"/>
      <c r="AI26" s="63"/>
      <c r="AJ26" s="10"/>
      <c r="AK26" s="10"/>
      <c r="AL26" s="54"/>
      <c r="AM26" s="54"/>
    </row>
    <row r="27" spans="1:39" x14ac:dyDescent="0.3">
      <c r="A27" s="106"/>
      <c r="B27" s="89" t="s">
        <v>293</v>
      </c>
      <c r="C27" s="236" t="s">
        <v>294</v>
      </c>
      <c r="D27" s="237"/>
      <c r="E27" s="238"/>
      <c r="F27" s="21" t="s">
        <v>288</v>
      </c>
      <c r="G27" s="71" t="s">
        <v>99</v>
      </c>
      <c r="H27" s="239" t="s">
        <v>2</v>
      </c>
      <c r="I27" s="240"/>
      <c r="J27" s="240"/>
      <c r="K27" s="240"/>
      <c r="L27" s="241" t="s">
        <v>177</v>
      </c>
      <c r="M27" s="242"/>
      <c r="N27" s="243"/>
      <c r="O27" s="241" t="s">
        <v>172</v>
      </c>
      <c r="P27" s="242"/>
      <c r="Q27" s="243"/>
      <c r="R27" s="244" t="s">
        <v>175</v>
      </c>
      <c r="S27" s="245"/>
      <c r="T27" s="245"/>
      <c r="U27" s="245"/>
      <c r="V27" s="245"/>
      <c r="W27" s="245"/>
      <c r="X27" s="245"/>
      <c r="Y27" s="245"/>
      <c r="Z27" s="246"/>
      <c r="AA27" s="69" t="s">
        <v>96</v>
      </c>
      <c r="AB27" s="102" t="s">
        <v>62</v>
      </c>
      <c r="AC27" s="100" t="s">
        <v>169</v>
      </c>
      <c r="AD27" s="247" t="s">
        <v>178</v>
      </c>
      <c r="AE27" s="247"/>
      <c r="AF27" s="248"/>
      <c r="AG27" s="54"/>
      <c r="AH27" s="54"/>
      <c r="AI27" s="63"/>
      <c r="AJ27" s="10"/>
      <c r="AK27" s="10"/>
      <c r="AL27" s="54"/>
      <c r="AM27" s="54"/>
    </row>
    <row r="28" spans="1:39" x14ac:dyDescent="0.3">
      <c r="A28" s="106"/>
      <c r="B28" s="89" t="s">
        <v>295</v>
      </c>
      <c r="C28" s="236" t="s">
        <v>296</v>
      </c>
      <c r="D28" s="237"/>
      <c r="E28" s="238"/>
      <c r="F28" s="21" t="s">
        <v>288</v>
      </c>
      <c r="G28" s="71" t="s">
        <v>100</v>
      </c>
      <c r="H28" s="239" t="s">
        <v>63</v>
      </c>
      <c r="I28" s="240"/>
      <c r="J28" s="240"/>
      <c r="K28" s="240"/>
      <c r="L28" s="241" t="s">
        <v>179</v>
      </c>
      <c r="M28" s="242"/>
      <c r="N28" s="243"/>
      <c r="O28" s="241" t="s">
        <v>172</v>
      </c>
      <c r="P28" s="242"/>
      <c r="Q28" s="243"/>
      <c r="R28" s="244" t="s">
        <v>175</v>
      </c>
      <c r="S28" s="245"/>
      <c r="T28" s="245"/>
      <c r="U28" s="245"/>
      <c r="V28" s="245"/>
      <c r="W28" s="245"/>
      <c r="X28" s="245"/>
      <c r="Y28" s="245"/>
      <c r="Z28" s="246"/>
      <c r="AA28" s="69" t="s">
        <v>97</v>
      </c>
      <c r="AB28" s="102" t="s">
        <v>64</v>
      </c>
      <c r="AC28" s="100" t="s">
        <v>169</v>
      </c>
      <c r="AD28" s="247" t="s">
        <v>254</v>
      </c>
      <c r="AE28" s="247"/>
      <c r="AF28" s="248"/>
      <c r="AG28" s="54"/>
      <c r="AH28" s="54"/>
      <c r="AI28" s="63"/>
      <c r="AJ28" s="10"/>
      <c r="AK28" s="10"/>
      <c r="AL28" s="54"/>
      <c r="AM28" s="54"/>
    </row>
    <row r="29" spans="1:39" x14ac:dyDescent="0.3">
      <c r="A29" s="106"/>
      <c r="B29" s="89" t="s">
        <v>132</v>
      </c>
      <c r="C29" s="236" t="s">
        <v>133</v>
      </c>
      <c r="D29" s="237"/>
      <c r="E29" s="238"/>
      <c r="F29" s="21" t="s">
        <v>134</v>
      </c>
      <c r="G29" s="71" t="s">
        <v>101</v>
      </c>
      <c r="H29" s="239" t="s">
        <v>65</v>
      </c>
      <c r="I29" s="240"/>
      <c r="J29" s="240"/>
      <c r="K29" s="240"/>
      <c r="L29" s="241" t="s">
        <v>180</v>
      </c>
      <c r="M29" s="242"/>
      <c r="N29" s="243"/>
      <c r="O29" s="241" t="s">
        <v>172</v>
      </c>
      <c r="P29" s="242"/>
      <c r="Q29" s="243"/>
      <c r="R29" s="244" t="s">
        <v>175</v>
      </c>
      <c r="S29" s="245"/>
      <c r="T29" s="245"/>
      <c r="U29" s="245"/>
      <c r="V29" s="245"/>
      <c r="W29" s="245"/>
      <c r="X29" s="245"/>
      <c r="Y29" s="245"/>
      <c r="Z29" s="246"/>
      <c r="AA29" s="69" t="s">
        <v>66</v>
      </c>
      <c r="AB29" s="102" t="s">
        <v>66</v>
      </c>
      <c r="AC29" s="100" t="s">
        <v>169</v>
      </c>
      <c r="AD29" s="247" t="s">
        <v>254</v>
      </c>
      <c r="AE29" s="247"/>
      <c r="AF29" s="248"/>
      <c r="AG29" s="54"/>
      <c r="AH29" s="54"/>
      <c r="AI29" s="63"/>
      <c r="AJ29" s="10"/>
      <c r="AK29" s="10"/>
      <c r="AL29" s="54"/>
      <c r="AM29" s="54"/>
    </row>
    <row r="30" spans="1:39" ht="15" thickBot="1" x14ac:dyDescent="0.35">
      <c r="A30" s="106"/>
      <c r="B30" s="89" t="s">
        <v>135</v>
      </c>
      <c r="C30" s="236" t="s">
        <v>136</v>
      </c>
      <c r="D30" s="237"/>
      <c r="E30" s="238"/>
      <c r="F30" s="21" t="s">
        <v>137</v>
      </c>
      <c r="G30" s="71" t="s">
        <v>102</v>
      </c>
      <c r="H30" s="239" t="s">
        <v>67</v>
      </c>
      <c r="I30" s="240"/>
      <c r="J30" s="240"/>
      <c r="K30" s="240"/>
      <c r="L30" s="241" t="s">
        <v>181</v>
      </c>
      <c r="M30" s="242"/>
      <c r="N30" s="243"/>
      <c r="O30" s="241" t="s">
        <v>172</v>
      </c>
      <c r="P30" s="242"/>
      <c r="Q30" s="243"/>
      <c r="R30" s="244" t="s">
        <v>175</v>
      </c>
      <c r="S30" s="245"/>
      <c r="T30" s="245"/>
      <c r="U30" s="245"/>
      <c r="V30" s="245"/>
      <c r="W30" s="245"/>
      <c r="X30" s="245"/>
      <c r="Y30" s="245"/>
      <c r="Z30" s="246"/>
      <c r="AA30" s="69" t="s">
        <v>98</v>
      </c>
      <c r="AB30" s="108" t="s">
        <v>68</v>
      </c>
      <c r="AC30" s="84" t="s">
        <v>182</v>
      </c>
      <c r="AD30" s="282" t="s">
        <v>183</v>
      </c>
      <c r="AE30" s="282"/>
      <c r="AF30" s="283"/>
      <c r="AG30" s="54"/>
      <c r="AH30" s="54"/>
      <c r="AI30" s="63"/>
      <c r="AJ30" s="10"/>
      <c r="AK30" s="10"/>
      <c r="AL30" s="54"/>
      <c r="AM30" s="54"/>
    </row>
    <row r="31" spans="1:39" ht="15" thickBot="1" x14ac:dyDescent="0.35">
      <c r="A31" s="106"/>
      <c r="B31" s="89" t="s">
        <v>138</v>
      </c>
      <c r="C31" s="236" t="s">
        <v>139</v>
      </c>
      <c r="D31" s="237"/>
      <c r="E31" s="238"/>
      <c r="F31" s="21" t="s">
        <v>137</v>
      </c>
      <c r="G31" s="71" t="s">
        <v>103</v>
      </c>
      <c r="H31" s="239" t="s">
        <v>69</v>
      </c>
      <c r="I31" s="240"/>
      <c r="J31" s="240"/>
      <c r="K31" s="240"/>
      <c r="L31" s="241" t="s">
        <v>184</v>
      </c>
      <c r="M31" s="242"/>
      <c r="N31" s="243"/>
      <c r="O31" s="241" t="s">
        <v>172</v>
      </c>
      <c r="P31" s="242"/>
      <c r="Q31" s="243"/>
      <c r="R31" s="244" t="s">
        <v>175</v>
      </c>
      <c r="S31" s="245"/>
      <c r="T31" s="245"/>
      <c r="U31" s="245"/>
      <c r="V31" s="245"/>
      <c r="W31" s="245"/>
      <c r="X31" s="245"/>
      <c r="Y31" s="245"/>
      <c r="Z31" s="246"/>
      <c r="AA31" s="54"/>
      <c r="AB31" s="289"/>
      <c r="AC31" s="289"/>
      <c r="AD31" s="289"/>
      <c r="AE31" s="289"/>
      <c r="AF31" s="289"/>
      <c r="AG31" s="54"/>
      <c r="AH31" s="54"/>
      <c r="AI31" s="63"/>
      <c r="AJ31" s="10"/>
      <c r="AK31" s="10"/>
      <c r="AL31" s="54"/>
      <c r="AM31" s="54"/>
    </row>
    <row r="32" spans="1:39" x14ac:dyDescent="0.3">
      <c r="A32" s="106"/>
      <c r="B32" s="89" t="s">
        <v>140</v>
      </c>
      <c r="C32" s="236" t="s">
        <v>141</v>
      </c>
      <c r="D32" s="237"/>
      <c r="E32" s="238"/>
      <c r="F32" s="21" t="s">
        <v>137</v>
      </c>
      <c r="G32" s="71" t="s">
        <v>104</v>
      </c>
      <c r="H32" s="239" t="s">
        <v>70</v>
      </c>
      <c r="I32" s="240"/>
      <c r="J32" s="240"/>
      <c r="K32" s="240"/>
      <c r="L32" s="241" t="s">
        <v>318</v>
      </c>
      <c r="M32" s="242"/>
      <c r="N32" s="243"/>
      <c r="O32" s="241" t="s">
        <v>172</v>
      </c>
      <c r="P32" s="242"/>
      <c r="Q32" s="243"/>
      <c r="R32" s="244" t="s">
        <v>319</v>
      </c>
      <c r="S32" s="245"/>
      <c r="T32" s="245"/>
      <c r="U32" s="245"/>
      <c r="V32" s="245"/>
      <c r="W32" s="245"/>
      <c r="X32" s="245"/>
      <c r="Y32" s="245"/>
      <c r="Z32" s="246"/>
      <c r="AA32" s="54"/>
      <c r="AB32" s="30" t="s">
        <v>71</v>
      </c>
      <c r="AC32" s="290" t="s">
        <v>72</v>
      </c>
      <c r="AD32" s="291"/>
      <c r="AE32" s="31"/>
      <c r="AF32" s="32" t="s">
        <v>73</v>
      </c>
      <c r="AG32" s="54"/>
      <c r="AH32" s="54"/>
      <c r="AI32" s="63"/>
      <c r="AJ32" s="10"/>
      <c r="AK32" s="10"/>
      <c r="AL32" s="54"/>
      <c r="AM32" s="54"/>
    </row>
    <row r="33" spans="1:39" x14ac:dyDescent="0.3">
      <c r="A33" s="106"/>
      <c r="B33" s="89" t="s">
        <v>142</v>
      </c>
      <c r="C33" s="236" t="s">
        <v>143</v>
      </c>
      <c r="D33" s="237"/>
      <c r="E33" s="238"/>
      <c r="F33" s="21" t="s">
        <v>144</v>
      </c>
      <c r="G33" s="71" t="s">
        <v>105</v>
      </c>
      <c r="H33" s="284" t="s">
        <v>74</v>
      </c>
      <c r="I33" s="285"/>
      <c r="J33" s="285"/>
      <c r="K33" s="286"/>
      <c r="L33" s="241" t="s">
        <v>186</v>
      </c>
      <c r="M33" s="242"/>
      <c r="N33" s="243"/>
      <c r="O33" s="241" t="s">
        <v>172</v>
      </c>
      <c r="P33" s="242"/>
      <c r="Q33" s="243"/>
      <c r="R33" s="244" t="s">
        <v>175</v>
      </c>
      <c r="S33" s="245"/>
      <c r="T33" s="245"/>
      <c r="U33" s="245"/>
      <c r="V33" s="245"/>
      <c r="W33" s="245"/>
      <c r="X33" s="245"/>
      <c r="Y33" s="245"/>
      <c r="Z33" s="246"/>
      <c r="AA33" s="54"/>
      <c r="AB33" s="24"/>
      <c r="AC33" s="287"/>
      <c r="AD33" s="288"/>
      <c r="AE33" s="106"/>
      <c r="AF33" s="26"/>
      <c r="AG33" s="54"/>
      <c r="AH33" s="54"/>
      <c r="AI33" s="63"/>
      <c r="AJ33" s="10"/>
      <c r="AK33" s="10"/>
      <c r="AL33" s="54"/>
      <c r="AM33" s="54"/>
    </row>
    <row r="34" spans="1:39" x14ac:dyDescent="0.3">
      <c r="A34" s="106"/>
      <c r="B34" s="89" t="s">
        <v>300</v>
      </c>
      <c r="C34" s="236" t="s">
        <v>301</v>
      </c>
      <c r="D34" s="237"/>
      <c r="E34" s="238"/>
      <c r="F34" s="21" t="s">
        <v>302</v>
      </c>
      <c r="G34" s="71" t="s">
        <v>106</v>
      </c>
      <c r="H34" s="239" t="s">
        <v>75</v>
      </c>
      <c r="I34" s="240"/>
      <c r="J34" s="240"/>
      <c r="K34" s="240"/>
      <c r="L34" s="241" t="s">
        <v>83</v>
      </c>
      <c r="M34" s="242"/>
      <c r="N34" s="243"/>
      <c r="O34" s="241" t="s">
        <v>187</v>
      </c>
      <c r="P34" s="242"/>
      <c r="Q34" s="243"/>
      <c r="R34" s="244">
        <v>44298</v>
      </c>
      <c r="S34" s="245"/>
      <c r="T34" s="245"/>
      <c r="U34" s="245"/>
      <c r="V34" s="245"/>
      <c r="W34" s="245"/>
      <c r="X34" s="245"/>
      <c r="Y34" s="245"/>
      <c r="Z34" s="246"/>
      <c r="AA34" s="54"/>
      <c r="AB34" s="24"/>
      <c r="AC34" s="287"/>
      <c r="AD34" s="288"/>
      <c r="AE34" s="106"/>
      <c r="AF34" s="26"/>
      <c r="AG34" s="54"/>
      <c r="AH34" s="54"/>
      <c r="AI34" s="63"/>
      <c r="AJ34" s="10"/>
      <c r="AK34" s="10"/>
      <c r="AL34" s="54"/>
      <c r="AM34" s="54"/>
    </row>
    <row r="35" spans="1:39" x14ac:dyDescent="0.3">
      <c r="A35" s="106"/>
      <c r="B35" s="89" t="s">
        <v>145</v>
      </c>
      <c r="C35" s="236" t="s">
        <v>146</v>
      </c>
      <c r="D35" s="237"/>
      <c r="E35" s="238"/>
      <c r="F35" s="21" t="s">
        <v>147</v>
      </c>
      <c r="G35" s="71" t="s">
        <v>5</v>
      </c>
      <c r="H35" s="239" t="s">
        <v>5</v>
      </c>
      <c r="I35" s="240"/>
      <c r="J35" s="240"/>
      <c r="K35" s="240"/>
      <c r="L35" s="241" t="s">
        <v>328</v>
      </c>
      <c r="M35" s="242"/>
      <c r="N35" s="243"/>
      <c r="O35" s="241" t="s">
        <v>191</v>
      </c>
      <c r="P35" s="242"/>
      <c r="Q35" s="243"/>
      <c r="R35" s="244" t="s">
        <v>173</v>
      </c>
      <c r="S35" s="245"/>
      <c r="T35" s="245"/>
      <c r="U35" s="245"/>
      <c r="V35" s="245"/>
      <c r="W35" s="245"/>
      <c r="X35" s="245"/>
      <c r="Y35" s="245"/>
      <c r="Z35" s="246"/>
      <c r="AA35" s="54"/>
      <c r="AB35" s="24"/>
      <c r="AC35" s="287"/>
      <c r="AD35" s="288"/>
      <c r="AE35" s="106"/>
      <c r="AF35" s="26"/>
      <c r="AG35" s="54"/>
      <c r="AH35" s="54"/>
      <c r="AI35" s="63"/>
      <c r="AJ35" s="10"/>
      <c r="AK35" s="10"/>
      <c r="AL35" s="54"/>
      <c r="AM35" s="54"/>
    </row>
    <row r="36" spans="1:39" x14ac:dyDescent="0.3">
      <c r="A36" s="106"/>
      <c r="B36" s="89" t="s">
        <v>148</v>
      </c>
      <c r="C36" s="236" t="s">
        <v>149</v>
      </c>
      <c r="D36" s="237"/>
      <c r="E36" s="238"/>
      <c r="F36" s="21" t="s">
        <v>150</v>
      </c>
      <c r="G36" s="71" t="s">
        <v>107</v>
      </c>
      <c r="H36" s="239" t="s">
        <v>76</v>
      </c>
      <c r="I36" s="240"/>
      <c r="J36" s="240"/>
      <c r="K36" s="240"/>
      <c r="L36" s="241" t="s">
        <v>329</v>
      </c>
      <c r="M36" s="242"/>
      <c r="N36" s="243"/>
      <c r="O36" s="241" t="s">
        <v>172</v>
      </c>
      <c r="P36" s="242"/>
      <c r="Q36" s="243"/>
      <c r="R36" s="244" t="s">
        <v>173</v>
      </c>
      <c r="S36" s="245"/>
      <c r="T36" s="245"/>
      <c r="U36" s="245"/>
      <c r="V36" s="245"/>
      <c r="W36" s="245"/>
      <c r="X36" s="245"/>
      <c r="Y36" s="245"/>
      <c r="Z36" s="246"/>
      <c r="AA36" s="54"/>
      <c r="AB36" s="24"/>
      <c r="AC36" s="287"/>
      <c r="AD36" s="288"/>
      <c r="AE36" s="106"/>
      <c r="AF36" s="26"/>
      <c r="AG36" s="54"/>
      <c r="AH36" s="54"/>
      <c r="AI36" s="63"/>
      <c r="AJ36" s="10"/>
      <c r="AK36" s="10"/>
      <c r="AL36" s="54"/>
      <c r="AM36" s="54"/>
    </row>
    <row r="37" spans="1:39" x14ac:dyDescent="0.3">
      <c r="A37" s="106"/>
      <c r="B37" s="89" t="s">
        <v>154</v>
      </c>
      <c r="C37" s="236" t="s">
        <v>155</v>
      </c>
      <c r="D37" s="237"/>
      <c r="E37" s="238"/>
      <c r="F37" s="21" t="s">
        <v>153</v>
      </c>
      <c r="G37" s="71" t="s">
        <v>108</v>
      </c>
      <c r="H37" s="239" t="s">
        <v>77</v>
      </c>
      <c r="I37" s="240"/>
      <c r="J37" s="240"/>
      <c r="K37" s="240"/>
      <c r="L37" s="241" t="s">
        <v>330</v>
      </c>
      <c r="M37" s="242"/>
      <c r="N37" s="243"/>
      <c r="O37" s="241" t="s">
        <v>191</v>
      </c>
      <c r="P37" s="242"/>
      <c r="Q37" s="243"/>
      <c r="R37" s="244" t="s">
        <v>173</v>
      </c>
      <c r="S37" s="245"/>
      <c r="T37" s="245"/>
      <c r="U37" s="245"/>
      <c r="V37" s="245"/>
      <c r="W37" s="245"/>
      <c r="X37" s="245"/>
      <c r="Y37" s="245"/>
      <c r="Z37" s="246"/>
      <c r="AA37" s="54"/>
      <c r="AB37" s="24"/>
      <c r="AC37" s="287"/>
      <c r="AD37" s="288"/>
      <c r="AE37" s="106"/>
      <c r="AF37" s="26"/>
      <c r="AG37" s="54"/>
      <c r="AH37" s="54"/>
      <c r="AI37" s="63"/>
      <c r="AJ37" s="10"/>
      <c r="AK37" s="10"/>
      <c r="AL37" s="54"/>
      <c r="AM37" s="54"/>
    </row>
    <row r="38" spans="1:39" x14ac:dyDescent="0.3">
      <c r="A38" s="106"/>
      <c r="B38" s="89" t="s">
        <v>151</v>
      </c>
      <c r="C38" s="236" t="s">
        <v>152</v>
      </c>
      <c r="D38" s="237"/>
      <c r="E38" s="238"/>
      <c r="F38" s="21" t="s">
        <v>153</v>
      </c>
      <c r="G38" s="71" t="s">
        <v>109</v>
      </c>
      <c r="H38" s="239" t="s">
        <v>78</v>
      </c>
      <c r="I38" s="240"/>
      <c r="J38" s="240"/>
      <c r="K38" s="240"/>
      <c r="L38" s="241" t="s">
        <v>331</v>
      </c>
      <c r="M38" s="242"/>
      <c r="N38" s="243"/>
      <c r="O38" s="241" t="s">
        <v>172</v>
      </c>
      <c r="P38" s="242"/>
      <c r="Q38" s="243"/>
      <c r="R38" s="244" t="s">
        <v>173</v>
      </c>
      <c r="S38" s="245"/>
      <c r="T38" s="245"/>
      <c r="U38" s="245"/>
      <c r="V38" s="245"/>
      <c r="W38" s="245"/>
      <c r="X38" s="245"/>
      <c r="Y38" s="245"/>
      <c r="Z38" s="246"/>
      <c r="AA38" s="54"/>
      <c r="AB38" s="24"/>
      <c r="AC38" s="287"/>
      <c r="AD38" s="288"/>
      <c r="AE38" s="106"/>
      <c r="AF38" s="26"/>
      <c r="AG38" s="54"/>
      <c r="AH38" s="54"/>
      <c r="AI38" s="63"/>
      <c r="AJ38" s="10"/>
      <c r="AK38" s="10"/>
      <c r="AL38" s="54"/>
      <c r="AM38" s="54"/>
    </row>
    <row r="39" spans="1:39" ht="15" thickBot="1" x14ac:dyDescent="0.35">
      <c r="A39" s="106"/>
      <c r="B39" s="89" t="s">
        <v>156</v>
      </c>
      <c r="C39" s="236" t="s">
        <v>157</v>
      </c>
      <c r="D39" s="237"/>
      <c r="E39" s="238"/>
      <c r="F39" s="21" t="s">
        <v>158</v>
      </c>
      <c r="G39" s="71" t="s">
        <v>79</v>
      </c>
      <c r="H39" s="239" t="s">
        <v>79</v>
      </c>
      <c r="I39" s="240"/>
      <c r="J39" s="240"/>
      <c r="K39" s="240"/>
      <c r="L39" s="241" t="s">
        <v>332</v>
      </c>
      <c r="M39" s="242"/>
      <c r="N39" s="243"/>
      <c r="O39" s="241" t="s">
        <v>172</v>
      </c>
      <c r="P39" s="242"/>
      <c r="Q39" s="243"/>
      <c r="R39" s="244" t="s">
        <v>173</v>
      </c>
      <c r="S39" s="245"/>
      <c r="T39" s="245"/>
      <c r="U39" s="245"/>
      <c r="V39" s="245"/>
      <c r="W39" s="245"/>
      <c r="X39" s="245"/>
      <c r="Y39" s="245"/>
      <c r="Z39" s="246"/>
      <c r="AA39" s="54"/>
      <c r="AB39" s="25"/>
      <c r="AC39" s="321"/>
      <c r="AD39" s="322"/>
      <c r="AE39" s="106"/>
      <c r="AF39" s="27"/>
      <c r="AG39" s="54"/>
      <c r="AH39" s="54"/>
      <c r="AI39" s="63"/>
      <c r="AJ39" s="10"/>
      <c r="AK39" s="10"/>
      <c r="AL39" s="54"/>
      <c r="AM39" s="54"/>
    </row>
    <row r="40" spans="1:39" x14ac:dyDescent="0.3">
      <c r="A40" s="106"/>
      <c r="B40" s="89" t="s">
        <v>159</v>
      </c>
      <c r="C40" s="236" t="s">
        <v>160</v>
      </c>
      <c r="D40" s="237"/>
      <c r="E40" s="238"/>
      <c r="F40" s="21" t="s">
        <v>158</v>
      </c>
      <c r="G40" s="71" t="s">
        <v>110</v>
      </c>
      <c r="H40" s="239" t="s">
        <v>80</v>
      </c>
      <c r="I40" s="240"/>
      <c r="J40" s="240"/>
      <c r="K40" s="240"/>
      <c r="L40" s="241" t="s">
        <v>333</v>
      </c>
      <c r="M40" s="242"/>
      <c r="N40" s="243"/>
      <c r="O40" s="241" t="s">
        <v>191</v>
      </c>
      <c r="P40" s="242"/>
      <c r="Q40" s="243"/>
      <c r="R40" s="244" t="s">
        <v>173</v>
      </c>
      <c r="S40" s="245"/>
      <c r="T40" s="245"/>
      <c r="U40" s="245"/>
      <c r="V40" s="245"/>
      <c r="W40" s="245"/>
      <c r="X40" s="245"/>
      <c r="Y40" s="245"/>
      <c r="Z40" s="246"/>
      <c r="AA40" s="54"/>
      <c r="AB40" s="106"/>
      <c r="AC40" s="106"/>
      <c r="AD40" s="106"/>
      <c r="AE40" s="106"/>
      <c r="AF40" s="106"/>
      <c r="AG40" s="54"/>
      <c r="AH40" s="54"/>
      <c r="AI40" s="63"/>
      <c r="AJ40" s="10"/>
      <c r="AK40" s="10"/>
      <c r="AL40" s="54"/>
      <c r="AM40" s="54"/>
    </row>
    <row r="41" spans="1:39" x14ac:dyDescent="0.3">
      <c r="A41" s="106"/>
      <c r="B41" s="89" t="s">
        <v>164</v>
      </c>
      <c r="C41" s="236" t="s">
        <v>165</v>
      </c>
      <c r="D41" s="237"/>
      <c r="E41" s="238"/>
      <c r="F41" s="21" t="s">
        <v>163</v>
      </c>
      <c r="G41" s="71" t="s">
        <v>111</v>
      </c>
      <c r="H41" s="239" t="s">
        <v>81</v>
      </c>
      <c r="I41" s="240"/>
      <c r="J41" s="240"/>
      <c r="K41" s="240"/>
      <c r="L41" s="241" t="s">
        <v>83</v>
      </c>
      <c r="M41" s="242"/>
      <c r="N41" s="243"/>
      <c r="O41" s="241" t="s">
        <v>83</v>
      </c>
      <c r="P41" s="242"/>
      <c r="Q41" s="243"/>
      <c r="R41" s="244" t="s">
        <v>83</v>
      </c>
      <c r="S41" s="245"/>
      <c r="T41" s="245"/>
      <c r="U41" s="245"/>
      <c r="V41" s="245"/>
      <c r="W41" s="245"/>
      <c r="X41" s="245"/>
      <c r="Y41" s="245"/>
      <c r="Z41" s="246"/>
      <c r="AA41" s="54"/>
      <c r="AB41" s="106"/>
      <c r="AC41" s="106"/>
      <c r="AD41" s="106"/>
      <c r="AE41" s="106"/>
      <c r="AF41" s="106"/>
      <c r="AG41" s="54"/>
      <c r="AH41" s="54"/>
      <c r="AI41" s="63"/>
      <c r="AJ41" s="10"/>
      <c r="AK41" s="10"/>
      <c r="AL41" s="54"/>
      <c r="AM41" s="54"/>
    </row>
    <row r="42" spans="1:39" x14ac:dyDescent="0.3">
      <c r="A42" s="106"/>
      <c r="B42" s="89" t="s">
        <v>166</v>
      </c>
      <c r="C42" s="236" t="s">
        <v>167</v>
      </c>
      <c r="D42" s="237"/>
      <c r="E42" s="238"/>
      <c r="F42" s="21" t="s">
        <v>163</v>
      </c>
      <c r="G42" s="71" t="s">
        <v>14</v>
      </c>
      <c r="H42" s="239" t="s">
        <v>88</v>
      </c>
      <c r="I42" s="240"/>
      <c r="J42" s="240"/>
      <c r="K42" s="240"/>
      <c r="L42" s="241"/>
      <c r="M42" s="242"/>
      <c r="N42" s="243"/>
      <c r="O42" s="241"/>
      <c r="P42" s="242"/>
      <c r="Q42" s="243"/>
      <c r="R42" s="244"/>
      <c r="S42" s="245"/>
      <c r="T42" s="245"/>
      <c r="U42" s="245"/>
      <c r="V42" s="245"/>
      <c r="W42" s="245"/>
      <c r="X42" s="245"/>
      <c r="Y42" s="245"/>
      <c r="Z42" s="246"/>
      <c r="AA42" s="54"/>
      <c r="AB42" s="106"/>
      <c r="AC42" s="106"/>
      <c r="AD42" s="106"/>
      <c r="AE42" s="106"/>
      <c r="AF42" s="106"/>
      <c r="AG42" s="54"/>
      <c r="AH42" s="54"/>
      <c r="AI42" s="63"/>
      <c r="AJ42" s="10"/>
      <c r="AK42" s="10"/>
      <c r="AL42" s="54"/>
      <c r="AM42" s="54"/>
    </row>
    <row r="43" spans="1:39" ht="15" thickBot="1" x14ac:dyDescent="0.35">
      <c r="A43" s="106"/>
      <c r="B43" s="90"/>
      <c r="C43" s="292"/>
      <c r="D43" s="293"/>
      <c r="E43" s="294"/>
      <c r="F43" s="60"/>
      <c r="G43" s="54"/>
      <c r="H43" s="295"/>
      <c r="I43" s="296"/>
      <c r="J43" s="296"/>
      <c r="K43" s="296"/>
      <c r="L43" s="297"/>
      <c r="M43" s="298"/>
      <c r="N43" s="299"/>
      <c r="O43" s="300"/>
      <c r="P43" s="301"/>
      <c r="Q43" s="302"/>
      <c r="R43" s="303"/>
      <c r="S43" s="304"/>
      <c r="T43" s="304"/>
      <c r="U43" s="304"/>
      <c r="V43" s="304"/>
      <c r="W43" s="304"/>
      <c r="X43" s="304"/>
      <c r="Y43" s="304"/>
      <c r="Z43" s="305"/>
      <c r="AA43" s="54"/>
      <c r="AB43" s="106"/>
      <c r="AC43" s="106"/>
      <c r="AD43" s="106"/>
      <c r="AE43" s="106"/>
      <c r="AF43" s="106"/>
      <c r="AG43" s="54"/>
      <c r="AH43" s="54"/>
      <c r="AI43" s="63"/>
      <c r="AJ43" s="10"/>
      <c r="AK43" s="10"/>
      <c r="AL43" s="54"/>
      <c r="AM43" s="54"/>
    </row>
    <row r="44" spans="1:39" ht="15" customHeight="1" x14ac:dyDescent="0.3">
      <c r="A44" s="106"/>
      <c r="B44" s="15"/>
      <c r="C44" s="106"/>
      <c r="D44" s="106"/>
      <c r="E44" s="15"/>
      <c r="F44" s="106"/>
      <c r="G44" s="54"/>
      <c r="H44" s="106"/>
      <c r="I44" s="106"/>
      <c r="J44" s="106"/>
      <c r="K44" s="106"/>
      <c r="L44" s="106"/>
      <c r="M44" s="106"/>
      <c r="N44" s="106"/>
      <c r="O44" s="106"/>
      <c r="P44" s="106"/>
      <c r="Q44" s="106"/>
      <c r="R44" s="106"/>
      <c r="S44" s="106"/>
      <c r="T44" s="106"/>
      <c r="U44" s="106"/>
      <c r="V44" s="106"/>
      <c r="W44" s="106"/>
      <c r="X44" s="106"/>
      <c r="Y44" s="106"/>
      <c r="Z44" s="106"/>
      <c r="AA44" s="54"/>
      <c r="AB44" s="106"/>
      <c r="AC44" s="106"/>
      <c r="AD44" s="106"/>
      <c r="AE44" s="106"/>
      <c r="AF44" s="106"/>
      <c r="AG44" s="54"/>
      <c r="AH44" s="54"/>
      <c r="AI44" s="63"/>
      <c r="AJ44" s="10"/>
      <c r="AK44" s="10"/>
      <c r="AL44" s="54"/>
      <c r="AM44" s="54"/>
    </row>
    <row r="45" spans="1:39" ht="15" customHeight="1" x14ac:dyDescent="0.3">
      <c r="A45" s="54"/>
      <c r="B45" s="2"/>
      <c r="C45" s="54"/>
      <c r="D45" s="54"/>
      <c r="E45" s="2"/>
      <c r="F45" s="54"/>
      <c r="G45" s="54"/>
      <c r="H45" s="106"/>
      <c r="I45" s="106"/>
      <c r="J45" s="106"/>
      <c r="K45" s="106"/>
      <c r="L45" s="106"/>
      <c r="M45" s="106"/>
      <c r="N45" s="106"/>
      <c r="O45" s="106"/>
      <c r="P45" s="106"/>
      <c r="Q45" s="106"/>
      <c r="R45" s="106"/>
      <c r="S45" s="106"/>
      <c r="T45" s="106"/>
      <c r="U45" s="106"/>
      <c r="V45" s="106"/>
      <c r="W45" s="106"/>
      <c r="X45" s="106"/>
      <c r="Y45" s="106"/>
      <c r="Z45" s="106"/>
      <c r="AA45" s="54"/>
      <c r="AB45" s="106"/>
      <c r="AC45" s="106"/>
      <c r="AD45" s="106"/>
      <c r="AE45" s="106"/>
      <c r="AF45" s="106"/>
      <c r="AG45" s="54"/>
      <c r="AH45" s="54"/>
      <c r="AI45" s="63"/>
      <c r="AJ45" s="10"/>
      <c r="AK45" s="10"/>
      <c r="AL45" s="54"/>
      <c r="AM45" s="54"/>
    </row>
    <row r="46" spans="1:39" ht="15" customHeight="1" x14ac:dyDescent="0.3">
      <c r="A46" s="54"/>
      <c r="B46" s="2"/>
      <c r="C46" s="54"/>
      <c r="D46" s="54"/>
      <c r="E46" s="2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63"/>
      <c r="AJ46" s="10"/>
      <c r="AK46" s="10"/>
      <c r="AL46" s="54"/>
      <c r="AM46" s="54"/>
    </row>
    <row r="47" spans="1:39" ht="15" customHeight="1" x14ac:dyDescent="0.3">
      <c r="A47" s="54"/>
      <c r="B47" s="2"/>
      <c r="C47" s="54"/>
      <c r="D47" s="54"/>
      <c r="E47" s="2"/>
      <c r="F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63"/>
      <c r="AJ47" s="10"/>
      <c r="AK47" s="10"/>
      <c r="AL47" s="54"/>
      <c r="AM47" s="54"/>
    </row>
    <row r="48" spans="1:39" ht="15" customHeight="1" x14ac:dyDescent="0.3"/>
    <row r="49" ht="15" customHeight="1" x14ac:dyDescent="0.3"/>
    <row r="50" ht="15" customHeight="1" x14ac:dyDescent="0.3"/>
  </sheetData>
  <mergeCells count="203">
    <mergeCell ref="V3:W3"/>
    <mergeCell ref="H4:H5"/>
    <mergeCell ref="E7:E8"/>
    <mergeCell ref="F7:F8"/>
    <mergeCell ref="G7:I8"/>
    <mergeCell ref="J7:Q7"/>
    <mergeCell ref="R7:W7"/>
    <mergeCell ref="J8:K8"/>
    <mergeCell ref="L8:M8"/>
    <mergeCell ref="N8:O8"/>
    <mergeCell ref="H2:H3"/>
    <mergeCell ref="J2:Q2"/>
    <mergeCell ref="R2:W2"/>
    <mergeCell ref="J3:K3"/>
    <mergeCell ref="L3:M3"/>
    <mergeCell ref="N3:O3"/>
    <mergeCell ref="P3:Q3"/>
    <mergeCell ref="R3:S3"/>
    <mergeCell ref="T3:U3"/>
    <mergeCell ref="P8:Q8"/>
    <mergeCell ref="R8:S8"/>
    <mergeCell ref="T8:U8"/>
    <mergeCell ref="V8:W8"/>
    <mergeCell ref="G9:I9"/>
    <mergeCell ref="J9:K9"/>
    <mergeCell ref="L9:M9"/>
    <mergeCell ref="N9:O9"/>
    <mergeCell ref="P9:Q9"/>
    <mergeCell ref="R9:S9"/>
    <mergeCell ref="T9:U9"/>
    <mergeCell ref="V9:W9"/>
    <mergeCell ref="G10:I10"/>
    <mergeCell ref="J10:K10"/>
    <mergeCell ref="L10:M10"/>
    <mergeCell ref="N10:O10"/>
    <mergeCell ref="P10:Q10"/>
    <mergeCell ref="R10:S10"/>
    <mergeCell ref="T10:U10"/>
    <mergeCell ref="V10:W10"/>
    <mergeCell ref="Y13:Z13"/>
    <mergeCell ref="AA13:AC13"/>
    <mergeCell ref="AD13:AF13"/>
    <mergeCell ref="Y14:Z21"/>
    <mergeCell ref="AA14:AC21"/>
    <mergeCell ref="AD14:AF21"/>
    <mergeCell ref="T11:U11"/>
    <mergeCell ref="V11:W11"/>
    <mergeCell ref="G13:I13"/>
    <mergeCell ref="J13:K13"/>
    <mergeCell ref="L13:M13"/>
    <mergeCell ref="N13:O13"/>
    <mergeCell ref="P13:Q13"/>
    <mergeCell ref="R13:S13"/>
    <mergeCell ref="T13:U13"/>
    <mergeCell ref="V13:W13"/>
    <mergeCell ref="G11:I11"/>
    <mergeCell ref="J11:K11"/>
    <mergeCell ref="L11:M11"/>
    <mergeCell ref="N11:O11"/>
    <mergeCell ref="P11:Q11"/>
    <mergeCell ref="R11:S11"/>
    <mergeCell ref="Y2:AF11"/>
    <mergeCell ref="S18:W18"/>
    <mergeCell ref="J19:J20"/>
    <mergeCell ref="K19:K20"/>
    <mergeCell ref="L19:R20"/>
    <mergeCell ref="S19:W20"/>
    <mergeCell ref="B20:H21"/>
    <mergeCell ref="L21:R21"/>
    <mergeCell ref="S21:W21"/>
    <mergeCell ref="F15:H15"/>
    <mergeCell ref="J15:R15"/>
    <mergeCell ref="S15:W15"/>
    <mergeCell ref="E16:E18"/>
    <mergeCell ref="F16:H18"/>
    <mergeCell ref="L16:R16"/>
    <mergeCell ref="S16:W16"/>
    <mergeCell ref="L17:R17"/>
    <mergeCell ref="S17:W17"/>
    <mergeCell ref="L18:R18"/>
    <mergeCell ref="C24:E24"/>
    <mergeCell ref="H24:K24"/>
    <mergeCell ref="L24:N24"/>
    <mergeCell ref="O24:Q24"/>
    <mergeCell ref="R24:Z24"/>
    <mergeCell ref="AD24:AF24"/>
    <mergeCell ref="C23:E23"/>
    <mergeCell ref="H23:K23"/>
    <mergeCell ref="L23:N23"/>
    <mergeCell ref="O23:Q23"/>
    <mergeCell ref="R23:Z23"/>
    <mergeCell ref="AD23:AF23"/>
    <mergeCell ref="C26:E26"/>
    <mergeCell ref="H26:K26"/>
    <mergeCell ref="L26:N26"/>
    <mergeCell ref="O26:Q26"/>
    <mergeCell ref="R26:Z26"/>
    <mergeCell ref="AD26:AF26"/>
    <mergeCell ref="C25:E25"/>
    <mergeCell ref="H25:K25"/>
    <mergeCell ref="L25:N25"/>
    <mergeCell ref="O25:Q25"/>
    <mergeCell ref="R25:Z25"/>
    <mergeCell ref="AD25:AF25"/>
    <mergeCell ref="C28:E28"/>
    <mergeCell ref="H28:K28"/>
    <mergeCell ref="L28:N28"/>
    <mergeCell ref="O28:Q28"/>
    <mergeCell ref="R28:Z28"/>
    <mergeCell ref="AD28:AF28"/>
    <mergeCell ref="C27:E27"/>
    <mergeCell ref="H27:K27"/>
    <mergeCell ref="L27:N27"/>
    <mergeCell ref="O27:Q27"/>
    <mergeCell ref="R27:Z27"/>
    <mergeCell ref="AD27:AF27"/>
    <mergeCell ref="C30:E30"/>
    <mergeCell ref="H30:K30"/>
    <mergeCell ref="L30:N30"/>
    <mergeCell ref="O30:Q30"/>
    <mergeCell ref="R30:Z30"/>
    <mergeCell ref="AD30:AF30"/>
    <mergeCell ref="C29:E29"/>
    <mergeCell ref="H29:K29"/>
    <mergeCell ref="L29:N29"/>
    <mergeCell ref="O29:Q29"/>
    <mergeCell ref="R29:Z29"/>
    <mergeCell ref="AD29:AF29"/>
    <mergeCell ref="C33:E33"/>
    <mergeCell ref="H33:K33"/>
    <mergeCell ref="L33:N33"/>
    <mergeCell ref="O33:Q33"/>
    <mergeCell ref="R33:Z33"/>
    <mergeCell ref="AC33:AD33"/>
    <mergeCell ref="AD31:AF31"/>
    <mergeCell ref="C32:E32"/>
    <mergeCell ref="H32:K32"/>
    <mergeCell ref="L32:N32"/>
    <mergeCell ref="O32:Q32"/>
    <mergeCell ref="R32:Z32"/>
    <mergeCell ref="AC32:AD32"/>
    <mergeCell ref="C31:E31"/>
    <mergeCell ref="H31:K31"/>
    <mergeCell ref="L31:N31"/>
    <mergeCell ref="O31:Q31"/>
    <mergeCell ref="R31:Z31"/>
    <mergeCell ref="AB31:AC31"/>
    <mergeCell ref="C35:E35"/>
    <mergeCell ref="H35:K35"/>
    <mergeCell ref="L35:N35"/>
    <mergeCell ref="O35:Q35"/>
    <mergeCell ref="R35:Z35"/>
    <mergeCell ref="AC35:AD35"/>
    <mergeCell ref="C34:E34"/>
    <mergeCell ref="H34:K34"/>
    <mergeCell ref="L34:N34"/>
    <mergeCell ref="O34:Q34"/>
    <mergeCell ref="R34:Z34"/>
    <mergeCell ref="AC34:AD34"/>
    <mergeCell ref="C37:E37"/>
    <mergeCell ref="H37:K37"/>
    <mergeCell ref="L37:N37"/>
    <mergeCell ref="O37:Q37"/>
    <mergeCell ref="R37:Z37"/>
    <mergeCell ref="AC37:AD37"/>
    <mergeCell ref="C36:E36"/>
    <mergeCell ref="H36:K36"/>
    <mergeCell ref="L36:N36"/>
    <mergeCell ref="O36:Q36"/>
    <mergeCell ref="R36:Z36"/>
    <mergeCell ref="AC36:AD36"/>
    <mergeCell ref="C39:E39"/>
    <mergeCell ref="H39:K39"/>
    <mergeCell ref="L39:N39"/>
    <mergeCell ref="O39:Q39"/>
    <mergeCell ref="R39:Z39"/>
    <mergeCell ref="AC39:AD39"/>
    <mergeCell ref="C38:E38"/>
    <mergeCell ref="H38:K38"/>
    <mergeCell ref="L38:N38"/>
    <mergeCell ref="O38:Q38"/>
    <mergeCell ref="R38:Z38"/>
    <mergeCell ref="AC38:AD38"/>
    <mergeCell ref="C40:E40"/>
    <mergeCell ref="H40:K40"/>
    <mergeCell ref="L40:N40"/>
    <mergeCell ref="O40:Q40"/>
    <mergeCell ref="R40:Z40"/>
    <mergeCell ref="C41:E41"/>
    <mergeCell ref="H41:K41"/>
    <mergeCell ref="L41:N41"/>
    <mergeCell ref="O41:Q41"/>
    <mergeCell ref="R41:Z41"/>
    <mergeCell ref="C42:E42"/>
    <mergeCell ref="H42:K42"/>
    <mergeCell ref="L42:N42"/>
    <mergeCell ref="O42:Q42"/>
    <mergeCell ref="R42:Z42"/>
    <mergeCell ref="C43:E43"/>
    <mergeCell ref="H43:K43"/>
    <mergeCell ref="L43:N43"/>
    <mergeCell ref="O43:Q43"/>
    <mergeCell ref="R43:Z43"/>
  </mergeCells>
  <conditionalFormatting sqref="F3:F5">
    <cfRule type="cellIs" dxfId="35" priority="10" operator="greaterThan">
      <formula>0.895</formula>
    </cfRule>
    <cfRule type="cellIs" dxfId="34" priority="11" operator="greaterThan">
      <formula>0.845</formula>
    </cfRule>
    <cfRule type="cellIs" dxfId="33" priority="12" operator="lessThan">
      <formula>0.85</formula>
    </cfRule>
  </conditionalFormatting>
  <conditionalFormatting sqref="H4:H5">
    <cfRule type="cellIs" dxfId="32" priority="8" operator="equal">
      <formula>"↓"</formula>
    </cfRule>
    <cfRule type="cellIs" dxfId="31" priority="9" operator="equal">
      <formula>"↑"</formula>
    </cfRule>
  </conditionalFormatting>
  <conditionalFormatting sqref="S16:W21">
    <cfRule type="expression" dxfId="30" priority="7">
      <formula>AND(ISNUMBER(S16),S16&lt;TODAY())</formula>
    </cfRule>
  </conditionalFormatting>
  <conditionalFormatting sqref="G10:W10">
    <cfRule type="cellIs" dxfId="29" priority="6" operator="greaterThan">
      <formula>G9</formula>
    </cfRule>
  </conditionalFormatting>
  <conditionalFormatting sqref="G11:W11">
    <cfRule type="cellIs" dxfId="28" priority="5" operator="greaterThan">
      <formula>0</formula>
    </cfRule>
  </conditionalFormatting>
  <conditionalFormatting sqref="O24:O43">
    <cfRule type="expression" dxfId="27" priority="4">
      <formula>OR(NOT(ISERROR(SEARCH("COMPLETE",O24))),NOT(ISERROR(SEARCH("RELEASED",O24))))</formula>
    </cfRule>
  </conditionalFormatting>
  <conditionalFormatting sqref="O24:Q43">
    <cfRule type="expression" dxfId="26" priority="3">
      <formula>NOT(ISERROR(SEARCH("ECO",O24)))</formula>
    </cfRule>
  </conditionalFormatting>
  <conditionalFormatting sqref="F24:F43">
    <cfRule type="expression" dxfId="25" priority="1">
      <formula>AND($F24&gt;0,DATEVALUE(RIGHT($F24,2)&amp;"-"&amp;MID($F24,6,3)&amp;"-"&amp;LEFT($F24,4))&lt;TODAY())</formula>
    </cfRule>
    <cfRule type="expression" dxfId="24" priority="2">
      <formula>AND($F24&gt;0,DATEVALUE(RIGHT($F24,2)&amp;"-"&amp;MID($F24,6,3)&amp;"-"&amp;LEFT($F24+$A$28,4))&lt;TODAY()+7)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UpdateCurrent">
                <anchor moveWithCells="1">
                  <from>
                    <xdr:col>37</xdr:col>
                    <xdr:colOff>297180</xdr:colOff>
                    <xdr:row>0</xdr:row>
                    <xdr:rowOff>0</xdr:rowOff>
                  </from>
                  <to>
                    <xdr:col>38</xdr:col>
                    <xdr:colOff>601980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1512D-9DEB-49E0-B22F-5AFFD7008197}">
  <sheetPr codeName="Sheet6"/>
  <dimension ref="A1:AM50"/>
  <sheetViews>
    <sheetView showGridLines="0" zoomScaleNormal="100" workbookViewId="0"/>
  </sheetViews>
  <sheetFormatPr defaultRowHeight="14.4" x14ac:dyDescent="0.3"/>
  <cols>
    <col min="1" max="1" width="0.44140625" customWidth="1"/>
    <col min="2" max="2" width="15.88671875" customWidth="1"/>
    <col min="3" max="3" width="15.33203125" customWidth="1"/>
    <col min="4" max="4" width="0.6640625" customWidth="1"/>
    <col min="5" max="5" width="12.88671875" customWidth="1"/>
    <col min="6" max="6" width="16" customWidth="1"/>
    <col min="7" max="7" width="0.5546875" customWidth="1"/>
    <col min="8" max="8" width="12.88671875" customWidth="1"/>
    <col min="9" max="9" width="0.5546875" customWidth="1"/>
    <col min="10" max="23" width="6.5546875" customWidth="1"/>
    <col min="24" max="24" width="0.6640625" customWidth="1"/>
    <col min="25" max="25" width="13.6640625" customWidth="1"/>
    <col min="26" max="26" width="9.44140625" customWidth="1"/>
    <col min="27" max="27" width="0.5546875" customWidth="1"/>
    <col min="28" max="28" width="12.5546875" customWidth="1"/>
    <col min="29" max="30" width="11.44140625" customWidth="1"/>
    <col min="31" max="31" width="0.88671875" customWidth="1"/>
    <col min="32" max="32" width="12.88671875" customWidth="1"/>
    <col min="35" max="35" width="12.5546875" style="64" customWidth="1"/>
    <col min="36" max="37" width="9.109375" style="65"/>
  </cols>
  <sheetData>
    <row r="1" spans="1:39" ht="2.25" customHeight="1" thickBot="1" x14ac:dyDescent="0.35">
      <c r="A1" s="31" t="s">
        <v>130</v>
      </c>
      <c r="B1" s="15"/>
      <c r="C1" s="106"/>
      <c r="D1" s="54"/>
      <c r="E1" s="2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63" t="s">
        <v>115</v>
      </c>
      <c r="AJ1" s="10" t="s">
        <v>30</v>
      </c>
      <c r="AK1" s="10" t="s">
        <v>29</v>
      </c>
      <c r="AL1" s="54"/>
      <c r="AM1" s="54"/>
    </row>
    <row r="2" spans="1:39" ht="15.75" customHeight="1" thickBot="1" x14ac:dyDescent="0.35">
      <c r="A2" s="106"/>
      <c r="B2" s="107" t="s">
        <v>1</v>
      </c>
      <c r="C2" s="72" t="s">
        <v>243</v>
      </c>
      <c r="D2" s="54"/>
      <c r="E2" s="99" t="s">
        <v>92</v>
      </c>
      <c r="F2" s="62">
        <v>44323</v>
      </c>
      <c r="G2" s="1"/>
      <c r="H2" s="163" t="s">
        <v>8</v>
      </c>
      <c r="I2" s="1"/>
      <c r="J2" s="164" t="s">
        <v>9</v>
      </c>
      <c r="K2" s="164"/>
      <c r="L2" s="164"/>
      <c r="M2" s="164"/>
      <c r="N2" s="164"/>
      <c r="O2" s="164"/>
      <c r="P2" s="164"/>
      <c r="Q2" s="164"/>
      <c r="R2" s="165" t="s">
        <v>10</v>
      </c>
      <c r="S2" s="165"/>
      <c r="T2" s="165"/>
      <c r="U2" s="165"/>
      <c r="V2" s="165"/>
      <c r="W2" s="166"/>
      <c r="X2" s="54"/>
      <c r="Y2" s="167"/>
      <c r="Z2" s="167"/>
      <c r="AA2" s="167"/>
      <c r="AB2" s="167"/>
      <c r="AC2" s="167"/>
      <c r="AD2" s="167"/>
      <c r="AE2" s="167"/>
      <c r="AF2" s="168"/>
      <c r="AG2" s="54"/>
      <c r="AH2" s="54"/>
      <c r="AI2" s="63">
        <v>44313</v>
      </c>
      <c r="AJ2" s="10">
        <v>0.33</v>
      </c>
      <c r="AK2" s="10"/>
      <c r="AL2" s="54"/>
      <c r="AM2" s="54"/>
    </row>
    <row r="3" spans="1:39" ht="15" customHeight="1" thickBot="1" x14ac:dyDescent="0.35">
      <c r="A3" s="106"/>
      <c r="B3" s="33" t="s">
        <v>11</v>
      </c>
      <c r="C3" s="73" t="s">
        <v>244</v>
      </c>
      <c r="D3" s="54"/>
      <c r="E3" s="33" t="s">
        <v>93</v>
      </c>
      <c r="F3" s="85">
        <v>0</v>
      </c>
      <c r="G3" s="1"/>
      <c r="H3" s="163"/>
      <c r="I3" s="1"/>
      <c r="J3" s="171" t="s">
        <v>12</v>
      </c>
      <c r="K3" s="171"/>
      <c r="L3" s="171" t="s">
        <v>13</v>
      </c>
      <c r="M3" s="171"/>
      <c r="N3" s="171" t="s">
        <v>14</v>
      </c>
      <c r="O3" s="172"/>
      <c r="P3" s="171" t="s">
        <v>6</v>
      </c>
      <c r="Q3" s="171"/>
      <c r="R3" s="171" t="s">
        <v>12</v>
      </c>
      <c r="S3" s="171"/>
      <c r="T3" s="171" t="s">
        <v>13</v>
      </c>
      <c r="U3" s="172"/>
      <c r="V3" s="171" t="s">
        <v>6</v>
      </c>
      <c r="W3" s="173"/>
      <c r="X3" s="54"/>
      <c r="Y3" s="167"/>
      <c r="Z3" s="167"/>
      <c r="AA3" s="167"/>
      <c r="AB3" s="167"/>
      <c r="AC3" s="167"/>
      <c r="AD3" s="167"/>
      <c r="AE3" s="167"/>
      <c r="AF3" s="168"/>
      <c r="AG3" s="54"/>
      <c r="AH3" s="54"/>
      <c r="AI3" s="63"/>
      <c r="AJ3" s="10"/>
      <c r="AK3" s="10"/>
      <c r="AL3" s="54"/>
      <c r="AM3" s="54"/>
    </row>
    <row r="4" spans="1:39" ht="15" customHeight="1" thickBot="1" x14ac:dyDescent="0.35">
      <c r="A4" s="106"/>
      <c r="B4" s="34" t="s">
        <v>15</v>
      </c>
      <c r="C4" s="74">
        <v>455878</v>
      </c>
      <c r="D4" s="54"/>
      <c r="E4" s="33" t="s">
        <v>116</v>
      </c>
      <c r="F4" s="86">
        <v>0</v>
      </c>
      <c r="G4" s="1"/>
      <c r="H4" s="174" t="str">
        <f>IF(VALUE(LEFT(F10,FIND("(",F10)-1))/VALUE(LEFT(F13,FIND("(",F13)-1))&gt;1.2,"↑",IF(VALUE(LEFT(F10,FIND("(",F10)-1))/VALUE(LEFT(F13,FIND("(",F13)-1))&lt;0.8,"↓","🗘"))</f>
        <v>↓</v>
      </c>
      <c r="I4" s="1"/>
      <c r="J4" s="3" t="s">
        <v>16</v>
      </c>
      <c r="K4" s="4" t="s">
        <v>17</v>
      </c>
      <c r="L4" s="3" t="s">
        <v>16</v>
      </c>
      <c r="M4" s="5" t="s">
        <v>17</v>
      </c>
      <c r="N4" s="3" t="s">
        <v>16</v>
      </c>
      <c r="O4" s="4" t="s">
        <v>17</v>
      </c>
      <c r="P4" s="3" t="s">
        <v>16</v>
      </c>
      <c r="Q4" s="5" t="s">
        <v>17</v>
      </c>
      <c r="R4" s="6" t="s">
        <v>16</v>
      </c>
      <c r="S4" s="4" t="s">
        <v>17</v>
      </c>
      <c r="T4" s="7" t="s">
        <v>16</v>
      </c>
      <c r="U4" s="5" t="s">
        <v>17</v>
      </c>
      <c r="V4" s="6" t="s">
        <v>16</v>
      </c>
      <c r="W4" s="4" t="s">
        <v>17</v>
      </c>
      <c r="X4" s="54"/>
      <c r="Y4" s="167"/>
      <c r="Z4" s="167"/>
      <c r="AA4" s="167"/>
      <c r="AB4" s="167"/>
      <c r="AC4" s="167"/>
      <c r="AD4" s="167"/>
      <c r="AE4" s="167"/>
      <c r="AF4" s="168"/>
      <c r="AG4" s="54"/>
      <c r="AI4" s="63"/>
      <c r="AJ4" s="10"/>
      <c r="AK4" s="10"/>
      <c r="AL4" s="54"/>
      <c r="AM4" s="54"/>
    </row>
    <row r="5" spans="1:39" ht="15.75" customHeight="1" thickBot="1" x14ac:dyDescent="0.35">
      <c r="A5" s="106"/>
      <c r="B5" s="35" t="s">
        <v>19</v>
      </c>
      <c r="C5" s="75" t="s">
        <v>245</v>
      </c>
      <c r="D5" s="54"/>
      <c r="E5" s="35" t="s">
        <v>91</v>
      </c>
      <c r="F5" s="87">
        <v>0.1</v>
      </c>
      <c r="G5" s="1"/>
      <c r="H5" s="175"/>
      <c r="I5" s="1"/>
      <c r="J5" s="38">
        <v>0</v>
      </c>
      <c r="K5" s="39">
        <v>20</v>
      </c>
      <c r="L5" s="40">
        <v>0</v>
      </c>
      <c r="M5" s="41">
        <v>15</v>
      </c>
      <c r="N5" s="40">
        <v>0</v>
      </c>
      <c r="O5" s="42">
        <v>5</v>
      </c>
      <c r="P5" s="38">
        <v>0</v>
      </c>
      <c r="Q5" s="43">
        <v>5</v>
      </c>
      <c r="R5" s="44">
        <v>0</v>
      </c>
      <c r="S5" s="45">
        <v>60</v>
      </c>
      <c r="T5" s="46">
        <v>0</v>
      </c>
      <c r="U5" s="47">
        <v>15</v>
      </c>
      <c r="V5" s="44">
        <v>0</v>
      </c>
      <c r="W5" s="45">
        <v>20</v>
      </c>
      <c r="X5" s="54"/>
      <c r="Y5" s="167"/>
      <c r="Z5" s="167"/>
      <c r="AA5" s="167"/>
      <c r="AB5" s="167"/>
      <c r="AC5" s="167"/>
      <c r="AD5" s="167"/>
      <c r="AE5" s="167"/>
      <c r="AF5" s="168"/>
      <c r="AG5" s="54"/>
      <c r="AH5" s="54"/>
      <c r="AI5" s="63"/>
      <c r="AJ5" s="10"/>
      <c r="AK5" s="10"/>
      <c r="AL5" s="54"/>
      <c r="AM5" s="54"/>
    </row>
    <row r="6" spans="1:39" ht="3.75" customHeight="1" thickBot="1" x14ac:dyDescent="0.35">
      <c r="A6" s="106"/>
      <c r="B6" s="15"/>
      <c r="C6" s="76"/>
      <c r="D6" s="8"/>
      <c r="E6" s="2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167"/>
      <c r="Z6" s="167"/>
      <c r="AA6" s="167"/>
      <c r="AB6" s="167"/>
      <c r="AC6" s="167"/>
      <c r="AD6" s="167"/>
      <c r="AE6" s="167"/>
      <c r="AF6" s="168"/>
      <c r="AG6" s="54"/>
      <c r="AH6" s="54"/>
      <c r="AI6" s="63"/>
      <c r="AJ6" s="10"/>
      <c r="AK6" s="10"/>
      <c r="AL6" s="54"/>
      <c r="AM6" s="54"/>
    </row>
    <row r="7" spans="1:39" ht="15.75" customHeight="1" thickBot="1" x14ac:dyDescent="0.35">
      <c r="A7" s="106"/>
      <c r="B7" s="104" t="s">
        <v>22</v>
      </c>
      <c r="C7" s="77">
        <v>193000</v>
      </c>
      <c r="D7" s="9"/>
      <c r="E7" s="186" t="s">
        <v>23</v>
      </c>
      <c r="F7" s="187" t="s">
        <v>24</v>
      </c>
      <c r="G7" s="188" t="s">
        <v>0</v>
      </c>
      <c r="H7" s="188"/>
      <c r="I7" s="188"/>
      <c r="J7" s="189" t="s">
        <v>9</v>
      </c>
      <c r="K7" s="189"/>
      <c r="L7" s="189"/>
      <c r="M7" s="189"/>
      <c r="N7" s="189"/>
      <c r="O7" s="189"/>
      <c r="P7" s="189"/>
      <c r="Q7" s="189"/>
      <c r="R7" s="165" t="s">
        <v>10</v>
      </c>
      <c r="S7" s="190"/>
      <c r="T7" s="190"/>
      <c r="U7" s="190"/>
      <c r="V7" s="190"/>
      <c r="W7" s="191"/>
      <c r="X7" s="54"/>
      <c r="Y7" s="167"/>
      <c r="Z7" s="167"/>
      <c r="AA7" s="167"/>
      <c r="AB7" s="167"/>
      <c r="AC7" s="167"/>
      <c r="AD7" s="167"/>
      <c r="AE7" s="167"/>
      <c r="AF7" s="168"/>
      <c r="AG7" s="54"/>
      <c r="AH7" s="54"/>
      <c r="AI7" s="63"/>
      <c r="AJ7" s="10"/>
      <c r="AK7" s="10"/>
      <c r="AL7" s="54"/>
      <c r="AM7" s="54"/>
    </row>
    <row r="8" spans="1:39" ht="15.75" customHeight="1" thickBot="1" x14ac:dyDescent="0.35">
      <c r="A8" s="106"/>
      <c r="B8" s="36" t="s">
        <v>25</v>
      </c>
      <c r="C8" s="78" t="s">
        <v>246</v>
      </c>
      <c r="D8" s="9"/>
      <c r="E8" s="186"/>
      <c r="F8" s="187"/>
      <c r="G8" s="188"/>
      <c r="H8" s="188"/>
      <c r="I8" s="188"/>
      <c r="J8" s="192" t="s">
        <v>12</v>
      </c>
      <c r="K8" s="192"/>
      <c r="L8" s="192" t="s">
        <v>13</v>
      </c>
      <c r="M8" s="171"/>
      <c r="N8" s="192" t="s">
        <v>14</v>
      </c>
      <c r="O8" s="172"/>
      <c r="P8" s="192" t="s">
        <v>6</v>
      </c>
      <c r="Q8" s="171"/>
      <c r="R8" s="192" t="s">
        <v>12</v>
      </c>
      <c r="S8" s="173"/>
      <c r="T8" s="192" t="s">
        <v>13</v>
      </c>
      <c r="U8" s="173"/>
      <c r="V8" s="192" t="s">
        <v>6</v>
      </c>
      <c r="W8" s="172"/>
      <c r="X8" s="54"/>
      <c r="Y8" s="167"/>
      <c r="Z8" s="167"/>
      <c r="AA8" s="167"/>
      <c r="AB8" s="167"/>
      <c r="AC8" s="167"/>
      <c r="AD8" s="167"/>
      <c r="AE8" s="167"/>
      <c r="AF8" s="168"/>
      <c r="AG8" s="54"/>
      <c r="AH8" s="54"/>
      <c r="AI8" s="63"/>
      <c r="AJ8" s="10"/>
      <c r="AK8" s="10"/>
      <c r="AL8" s="54"/>
      <c r="AM8" s="54"/>
    </row>
    <row r="9" spans="1:39" ht="15.75" customHeight="1" thickBot="1" x14ac:dyDescent="0.35">
      <c r="A9" s="106"/>
      <c r="B9" s="36" t="s">
        <v>28</v>
      </c>
      <c r="C9" s="78" t="s">
        <v>83</v>
      </c>
      <c r="D9" s="9"/>
      <c r="E9" s="51" t="s">
        <v>29</v>
      </c>
      <c r="F9" s="48" t="s">
        <v>251</v>
      </c>
      <c r="G9" s="176"/>
      <c r="H9" s="176"/>
      <c r="I9" s="176"/>
      <c r="J9" s="177">
        <v>20</v>
      </c>
      <c r="K9" s="177"/>
      <c r="L9" s="177">
        <v>20</v>
      </c>
      <c r="M9" s="178"/>
      <c r="N9" s="177">
        <v>5</v>
      </c>
      <c r="O9" s="179"/>
      <c r="P9" s="177">
        <v>5</v>
      </c>
      <c r="Q9" s="178"/>
      <c r="R9" s="177">
        <v>60</v>
      </c>
      <c r="S9" s="179"/>
      <c r="T9" s="177">
        <v>50</v>
      </c>
      <c r="U9" s="180"/>
      <c r="V9" s="177">
        <v>10</v>
      </c>
      <c r="W9" s="179"/>
      <c r="X9" s="54"/>
      <c r="Y9" s="167"/>
      <c r="Z9" s="167"/>
      <c r="AA9" s="167"/>
      <c r="AB9" s="167"/>
      <c r="AC9" s="167"/>
      <c r="AD9" s="167"/>
      <c r="AE9" s="167"/>
      <c r="AF9" s="168"/>
      <c r="AG9" s="54"/>
      <c r="AH9" s="54"/>
      <c r="AI9" s="63"/>
      <c r="AJ9" s="10"/>
      <c r="AK9" s="10"/>
      <c r="AL9" s="54"/>
      <c r="AM9" s="54"/>
    </row>
    <row r="10" spans="1:39" ht="15.75" customHeight="1" thickBot="1" x14ac:dyDescent="0.35">
      <c r="A10" s="106"/>
      <c r="B10" s="36" t="s">
        <v>7</v>
      </c>
      <c r="C10" s="78" t="s">
        <v>82</v>
      </c>
      <c r="D10" s="9"/>
      <c r="E10" s="51" t="s">
        <v>86</v>
      </c>
      <c r="F10" s="49" t="s">
        <v>252</v>
      </c>
      <c r="G10" s="181">
        <v>66249</v>
      </c>
      <c r="H10" s="181"/>
      <c r="I10" s="181"/>
      <c r="J10" s="182">
        <f>SUM(J5:K5)</f>
        <v>20</v>
      </c>
      <c r="K10" s="182"/>
      <c r="L10" s="183">
        <f>SUM(L5:M5)</f>
        <v>15</v>
      </c>
      <c r="M10" s="184"/>
      <c r="N10" s="183">
        <f>SUM(N5:O5)</f>
        <v>5</v>
      </c>
      <c r="O10" s="185"/>
      <c r="P10" s="182">
        <f>SUM(P5:Q5)</f>
        <v>5</v>
      </c>
      <c r="Q10" s="193"/>
      <c r="R10" s="182">
        <f>SUM(R5:S5)</f>
        <v>60</v>
      </c>
      <c r="S10" s="194"/>
      <c r="T10" s="182">
        <f>SUM(T5:U5)</f>
        <v>15</v>
      </c>
      <c r="U10" s="195"/>
      <c r="V10" s="182">
        <f>SUM(V5:W5)</f>
        <v>20</v>
      </c>
      <c r="W10" s="194"/>
      <c r="X10" s="54"/>
      <c r="Y10" s="167"/>
      <c r="Z10" s="167"/>
      <c r="AA10" s="167"/>
      <c r="AB10" s="167"/>
      <c r="AC10" s="167"/>
      <c r="AD10" s="167"/>
      <c r="AE10" s="167"/>
      <c r="AF10" s="168"/>
      <c r="AG10" s="54"/>
      <c r="AH10" s="54"/>
      <c r="AI10" s="63"/>
      <c r="AJ10" s="10"/>
      <c r="AK10" s="10"/>
      <c r="AL10" s="54"/>
      <c r="AM10" s="54"/>
    </row>
    <row r="11" spans="1:39" ht="15.75" customHeight="1" thickBot="1" x14ac:dyDescent="0.35">
      <c r="A11" s="106"/>
      <c r="B11" s="37" t="s">
        <v>32</v>
      </c>
      <c r="C11" s="79">
        <v>44300</v>
      </c>
      <c r="D11" s="9"/>
      <c r="E11" s="52" t="s">
        <v>84</v>
      </c>
      <c r="F11" s="88">
        <f>VALUE(LEFT(F9,FIND("(",F9)-1))-VALUE(LEFT(F10,FIND("(",F10)-1))</f>
        <v>15800</v>
      </c>
      <c r="G11" s="196">
        <f>G9-G10</f>
        <v>-66249</v>
      </c>
      <c r="H11" s="196"/>
      <c r="I11" s="196"/>
      <c r="J11" s="197">
        <f>J9-J10</f>
        <v>0</v>
      </c>
      <c r="K11" s="197"/>
      <c r="L11" s="198">
        <f>L9-L10</f>
        <v>5</v>
      </c>
      <c r="M11" s="199"/>
      <c r="N11" s="200">
        <f>N9-N10</f>
        <v>0</v>
      </c>
      <c r="O11" s="201"/>
      <c r="P11" s="197">
        <f>P9-P10</f>
        <v>0</v>
      </c>
      <c r="Q11" s="202"/>
      <c r="R11" s="200">
        <f>R9-R10</f>
        <v>0</v>
      </c>
      <c r="S11" s="201"/>
      <c r="T11" s="200">
        <f>T9-T10</f>
        <v>35</v>
      </c>
      <c r="U11" s="203"/>
      <c r="V11" s="200">
        <f>V9-V10</f>
        <v>-10</v>
      </c>
      <c r="W11" s="201"/>
      <c r="X11" s="54"/>
      <c r="Y11" s="169"/>
      <c r="Z11" s="169"/>
      <c r="AA11" s="169"/>
      <c r="AB11" s="169"/>
      <c r="AC11" s="169"/>
      <c r="AD11" s="169"/>
      <c r="AE11" s="169"/>
      <c r="AF11" s="170"/>
      <c r="AG11" s="54"/>
      <c r="AH11" s="54"/>
      <c r="AI11" s="63"/>
      <c r="AJ11" s="10"/>
      <c r="AK11" s="10"/>
      <c r="AL11" s="54"/>
      <c r="AM11" s="54"/>
    </row>
    <row r="12" spans="1:39" ht="3" customHeight="1" thickBot="1" x14ac:dyDescent="0.35">
      <c r="A12" s="106"/>
      <c r="B12" s="15"/>
      <c r="C12" s="80"/>
      <c r="D12" s="54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63"/>
      <c r="AJ12" s="10"/>
      <c r="AK12" s="10"/>
      <c r="AL12" s="54"/>
      <c r="AM12" s="54"/>
    </row>
    <row r="13" spans="1:39" ht="15.75" customHeight="1" thickBot="1" x14ac:dyDescent="0.35">
      <c r="A13" s="106"/>
      <c r="B13" s="104" t="s">
        <v>33</v>
      </c>
      <c r="C13" s="81" t="s">
        <v>34</v>
      </c>
      <c r="D13" s="54"/>
      <c r="E13" s="109" t="s">
        <v>35</v>
      </c>
      <c r="F13" s="50" t="s">
        <v>87</v>
      </c>
      <c r="G13" s="232"/>
      <c r="H13" s="232"/>
      <c r="I13" s="232"/>
      <c r="J13" s="223">
        <v>0</v>
      </c>
      <c r="K13" s="223"/>
      <c r="L13" s="233">
        <v>0</v>
      </c>
      <c r="M13" s="233"/>
      <c r="N13" s="223">
        <v>0</v>
      </c>
      <c r="O13" s="224"/>
      <c r="P13" s="223">
        <v>0</v>
      </c>
      <c r="Q13" s="233"/>
      <c r="R13" s="223">
        <v>0</v>
      </c>
      <c r="S13" s="224"/>
      <c r="T13" s="221">
        <v>0</v>
      </c>
      <c r="U13" s="222"/>
      <c r="V13" s="223">
        <v>0</v>
      </c>
      <c r="W13" s="224"/>
      <c r="X13" s="54"/>
      <c r="Y13" s="309" t="s">
        <v>117</v>
      </c>
      <c r="Z13" s="308"/>
      <c r="AA13" s="306" t="s">
        <v>118</v>
      </c>
      <c r="AB13" s="307"/>
      <c r="AC13" s="308"/>
      <c r="AD13" s="307" t="s">
        <v>119</v>
      </c>
      <c r="AE13" s="307"/>
      <c r="AF13" s="310"/>
      <c r="AG13" s="54"/>
      <c r="AH13" s="54"/>
      <c r="AI13" s="63"/>
      <c r="AJ13" s="10"/>
      <c r="AK13" s="10"/>
      <c r="AL13" s="54"/>
      <c r="AM13" s="54"/>
    </row>
    <row r="14" spans="1:39" ht="15.75" customHeight="1" thickBot="1" x14ac:dyDescent="0.35">
      <c r="A14" s="106"/>
      <c r="B14" s="36" t="s">
        <v>37</v>
      </c>
      <c r="C14" s="103" t="s">
        <v>83</v>
      </c>
      <c r="D14" s="54"/>
      <c r="E14" s="2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319" t="s">
        <v>250</v>
      </c>
      <c r="Z14" s="316"/>
      <c r="AA14" s="315"/>
      <c r="AB14" s="311"/>
      <c r="AC14" s="316"/>
      <c r="AD14" s="311"/>
      <c r="AE14" s="311"/>
      <c r="AF14" s="312"/>
      <c r="AG14" s="54"/>
      <c r="AH14" s="54"/>
      <c r="AI14" s="63"/>
      <c r="AJ14" s="10"/>
      <c r="AK14" s="10"/>
      <c r="AL14" s="54"/>
      <c r="AM14" s="54"/>
    </row>
    <row r="15" spans="1:39" ht="15" customHeight="1" x14ac:dyDescent="0.3">
      <c r="A15" s="106"/>
      <c r="B15" s="36" t="s">
        <v>38</v>
      </c>
      <c r="C15" s="103" t="s">
        <v>247</v>
      </c>
      <c r="D15" s="10"/>
      <c r="E15" s="107" t="s">
        <v>39</v>
      </c>
      <c r="F15" s="225" t="s">
        <v>40</v>
      </c>
      <c r="G15" s="226"/>
      <c r="H15" s="227"/>
      <c r="I15" s="54"/>
      <c r="J15" s="228" t="s">
        <v>41</v>
      </c>
      <c r="K15" s="229"/>
      <c r="L15" s="229"/>
      <c r="M15" s="229"/>
      <c r="N15" s="229"/>
      <c r="O15" s="229"/>
      <c r="P15" s="229"/>
      <c r="Q15" s="229"/>
      <c r="R15" s="229"/>
      <c r="S15" s="230" t="s">
        <v>42</v>
      </c>
      <c r="T15" s="230"/>
      <c r="U15" s="230"/>
      <c r="V15" s="230"/>
      <c r="W15" s="231"/>
      <c r="X15" s="54"/>
      <c r="Y15" s="319"/>
      <c r="Z15" s="316"/>
      <c r="AA15" s="315"/>
      <c r="AB15" s="311"/>
      <c r="AC15" s="316"/>
      <c r="AD15" s="311"/>
      <c r="AE15" s="311"/>
      <c r="AF15" s="312"/>
      <c r="AG15" s="63"/>
      <c r="AH15" s="54"/>
      <c r="AI15" s="63"/>
      <c r="AJ15" s="10"/>
      <c r="AK15" s="10"/>
      <c r="AL15" s="54"/>
      <c r="AM15" s="54"/>
    </row>
    <row r="16" spans="1:39" ht="15" customHeight="1" x14ac:dyDescent="0.3">
      <c r="A16" s="106"/>
      <c r="B16" s="36" t="s">
        <v>43</v>
      </c>
      <c r="C16" s="103" t="s">
        <v>248</v>
      </c>
      <c r="D16" s="10"/>
      <c r="E16" s="204">
        <v>0</v>
      </c>
      <c r="F16" s="207"/>
      <c r="G16" s="208"/>
      <c r="H16" s="209"/>
      <c r="I16" s="54"/>
      <c r="J16" s="18">
        <v>1</v>
      </c>
      <c r="K16" s="22">
        <v>0.2</v>
      </c>
      <c r="L16" s="216" t="s">
        <v>44</v>
      </c>
      <c r="M16" s="216"/>
      <c r="N16" s="216"/>
      <c r="O16" s="216"/>
      <c r="P16" s="216"/>
      <c r="Q16" s="216"/>
      <c r="R16" s="216"/>
      <c r="S16" s="217" t="s">
        <v>82</v>
      </c>
      <c r="T16" s="217"/>
      <c r="U16" s="217"/>
      <c r="V16" s="217"/>
      <c r="W16" s="218"/>
      <c r="X16" s="54"/>
      <c r="Y16" s="319"/>
      <c r="Z16" s="316"/>
      <c r="AA16" s="315"/>
      <c r="AB16" s="311"/>
      <c r="AC16" s="316"/>
      <c r="AD16" s="311"/>
      <c r="AE16" s="311"/>
      <c r="AF16" s="312"/>
      <c r="AG16" s="54"/>
      <c r="AH16" s="54"/>
      <c r="AI16" s="63"/>
      <c r="AJ16" s="10"/>
      <c r="AK16" s="10"/>
      <c r="AL16" s="54"/>
      <c r="AM16" s="54"/>
    </row>
    <row r="17" spans="1:39" ht="15" customHeight="1" x14ac:dyDescent="0.3">
      <c r="A17" s="106"/>
      <c r="B17" s="36" t="s">
        <v>45</v>
      </c>
      <c r="C17" s="103" t="s">
        <v>248</v>
      </c>
      <c r="D17" s="10"/>
      <c r="E17" s="205"/>
      <c r="F17" s="210"/>
      <c r="G17" s="211"/>
      <c r="H17" s="212"/>
      <c r="I17" s="54"/>
      <c r="J17" s="18">
        <v>2</v>
      </c>
      <c r="K17" s="22">
        <v>0.3</v>
      </c>
      <c r="L17" s="216" t="s">
        <v>46</v>
      </c>
      <c r="M17" s="216"/>
      <c r="N17" s="216"/>
      <c r="O17" s="216"/>
      <c r="P17" s="216"/>
      <c r="Q17" s="216"/>
      <c r="R17" s="216"/>
      <c r="S17" s="219" t="s">
        <v>82</v>
      </c>
      <c r="T17" s="219"/>
      <c r="U17" s="219"/>
      <c r="V17" s="219"/>
      <c r="W17" s="220"/>
      <c r="X17" s="54"/>
      <c r="Y17" s="319"/>
      <c r="Z17" s="316"/>
      <c r="AA17" s="315"/>
      <c r="AB17" s="311"/>
      <c r="AC17" s="316"/>
      <c r="AD17" s="311"/>
      <c r="AE17" s="311"/>
      <c r="AF17" s="312"/>
      <c r="AG17" s="54"/>
      <c r="AH17" s="54"/>
      <c r="AI17" s="63"/>
      <c r="AJ17" s="10"/>
      <c r="AK17" s="10"/>
      <c r="AL17" s="54"/>
      <c r="AM17" s="54"/>
    </row>
    <row r="18" spans="1:39" ht="15.75" customHeight="1" thickBot="1" x14ac:dyDescent="0.35">
      <c r="A18" s="106"/>
      <c r="B18" s="37" t="s">
        <v>47</v>
      </c>
      <c r="C18" s="105" t="s">
        <v>249</v>
      </c>
      <c r="D18" s="10"/>
      <c r="E18" s="206"/>
      <c r="F18" s="213"/>
      <c r="G18" s="214"/>
      <c r="H18" s="215"/>
      <c r="I18" s="54"/>
      <c r="J18" s="18">
        <v>3</v>
      </c>
      <c r="K18" s="22">
        <v>0.2</v>
      </c>
      <c r="L18" s="216" t="s">
        <v>48</v>
      </c>
      <c r="M18" s="216"/>
      <c r="N18" s="216"/>
      <c r="O18" s="216"/>
      <c r="P18" s="216"/>
      <c r="Q18" s="216"/>
      <c r="R18" s="216"/>
      <c r="S18" s="219" t="s">
        <v>82</v>
      </c>
      <c r="T18" s="219"/>
      <c r="U18" s="219"/>
      <c r="V18" s="219"/>
      <c r="W18" s="220"/>
      <c r="X18" s="54"/>
      <c r="Y18" s="319"/>
      <c r="Z18" s="316"/>
      <c r="AA18" s="315"/>
      <c r="AB18" s="311"/>
      <c r="AC18" s="316"/>
      <c r="AD18" s="311"/>
      <c r="AE18" s="311"/>
      <c r="AF18" s="312"/>
      <c r="AG18" s="54"/>
      <c r="AH18" s="54"/>
      <c r="AI18" s="63"/>
      <c r="AJ18" s="10"/>
      <c r="AK18" s="10"/>
      <c r="AL18" s="54"/>
      <c r="AM18" s="54"/>
    </row>
    <row r="19" spans="1:39" ht="2.25" customHeight="1" thickBot="1" x14ac:dyDescent="0.35">
      <c r="A19" s="106"/>
      <c r="B19" s="16"/>
      <c r="C19" s="59"/>
      <c r="D19" s="10"/>
      <c r="E19" s="11"/>
      <c r="F19" s="17"/>
      <c r="G19" s="17"/>
      <c r="H19" s="17"/>
      <c r="I19" s="54"/>
      <c r="J19" s="266">
        <v>4</v>
      </c>
      <c r="K19" s="268">
        <v>0.1</v>
      </c>
      <c r="L19" s="270" t="s">
        <v>49</v>
      </c>
      <c r="M19" s="271"/>
      <c r="N19" s="271"/>
      <c r="O19" s="271"/>
      <c r="P19" s="271"/>
      <c r="Q19" s="271"/>
      <c r="R19" s="272"/>
      <c r="S19" s="276" t="s">
        <v>82</v>
      </c>
      <c r="T19" s="277"/>
      <c r="U19" s="277"/>
      <c r="V19" s="277"/>
      <c r="W19" s="278"/>
      <c r="X19" s="54"/>
      <c r="Y19" s="319"/>
      <c r="Z19" s="316"/>
      <c r="AA19" s="315"/>
      <c r="AB19" s="311"/>
      <c r="AC19" s="316"/>
      <c r="AD19" s="311"/>
      <c r="AE19" s="311"/>
      <c r="AF19" s="312"/>
      <c r="AG19" s="54"/>
      <c r="AH19" s="54"/>
      <c r="AI19" s="63"/>
      <c r="AJ19" s="10"/>
      <c r="AK19" s="10"/>
      <c r="AL19" s="54"/>
      <c r="AM19" s="54"/>
    </row>
    <row r="20" spans="1:39" ht="15" customHeight="1" x14ac:dyDescent="0.3">
      <c r="A20" s="54"/>
      <c r="B20" s="249"/>
      <c r="C20" s="250"/>
      <c r="D20" s="250"/>
      <c r="E20" s="250"/>
      <c r="F20" s="250"/>
      <c r="G20" s="250"/>
      <c r="H20" s="251"/>
      <c r="I20" s="54"/>
      <c r="J20" s="267"/>
      <c r="K20" s="269"/>
      <c r="L20" s="273"/>
      <c r="M20" s="274"/>
      <c r="N20" s="274"/>
      <c r="O20" s="274"/>
      <c r="P20" s="274"/>
      <c r="Q20" s="274"/>
      <c r="R20" s="275"/>
      <c r="S20" s="279"/>
      <c r="T20" s="280"/>
      <c r="U20" s="280"/>
      <c r="V20" s="280"/>
      <c r="W20" s="281"/>
      <c r="X20" s="54"/>
      <c r="Y20" s="319"/>
      <c r="Z20" s="316"/>
      <c r="AA20" s="315"/>
      <c r="AB20" s="311"/>
      <c r="AC20" s="316"/>
      <c r="AD20" s="311"/>
      <c r="AE20" s="311"/>
      <c r="AF20" s="312"/>
      <c r="AG20" s="54"/>
      <c r="AH20" s="54"/>
      <c r="AI20" s="63"/>
      <c r="AJ20" s="10"/>
      <c r="AK20" s="10"/>
      <c r="AL20" s="54"/>
      <c r="AM20" s="54"/>
    </row>
    <row r="21" spans="1:39" ht="15.75" customHeight="1" thickBot="1" x14ac:dyDescent="0.35">
      <c r="A21" s="54"/>
      <c r="B21" s="252"/>
      <c r="C21" s="253"/>
      <c r="D21" s="253"/>
      <c r="E21" s="253"/>
      <c r="F21" s="253"/>
      <c r="G21" s="253"/>
      <c r="H21" s="254"/>
      <c r="I21" s="54"/>
      <c r="J21" s="19">
        <v>5</v>
      </c>
      <c r="K21" s="23">
        <v>0.2</v>
      </c>
      <c r="L21" s="255" t="s">
        <v>50</v>
      </c>
      <c r="M21" s="255"/>
      <c r="N21" s="255"/>
      <c r="O21" s="255"/>
      <c r="P21" s="255"/>
      <c r="Q21" s="255"/>
      <c r="R21" s="255"/>
      <c r="S21" s="256" t="s">
        <v>82</v>
      </c>
      <c r="T21" s="256"/>
      <c r="U21" s="256"/>
      <c r="V21" s="256"/>
      <c r="W21" s="257"/>
      <c r="X21" s="54"/>
      <c r="Y21" s="320"/>
      <c r="Z21" s="318"/>
      <c r="AA21" s="317"/>
      <c r="AB21" s="313"/>
      <c r="AC21" s="318"/>
      <c r="AD21" s="313"/>
      <c r="AE21" s="313"/>
      <c r="AF21" s="314"/>
      <c r="AG21" s="54"/>
      <c r="AH21" s="54"/>
      <c r="AI21" s="63"/>
      <c r="AJ21" s="10"/>
      <c r="AK21" s="10"/>
      <c r="AL21" s="54"/>
      <c r="AM21" s="54"/>
    </row>
    <row r="22" spans="1:39" ht="2.25" customHeight="1" thickBot="1" x14ac:dyDescent="0.35">
      <c r="A22" s="54"/>
      <c r="B22" s="2"/>
      <c r="C22" s="54"/>
      <c r="D22" s="10"/>
      <c r="E22" s="8"/>
      <c r="F22" s="14"/>
      <c r="G22" s="14"/>
      <c r="H22" s="106"/>
      <c r="I22" s="106"/>
      <c r="J22" s="106"/>
      <c r="K22" s="106"/>
      <c r="L22" s="106"/>
      <c r="M22" s="106"/>
      <c r="N22" s="106"/>
      <c r="O22" s="106"/>
      <c r="P22" s="106"/>
      <c r="Q22" s="106"/>
      <c r="R22" s="106"/>
      <c r="S22" s="106"/>
      <c r="T22" s="106"/>
      <c r="U22" s="106"/>
      <c r="V22" s="106"/>
      <c r="W22" s="106"/>
      <c r="X22" s="106"/>
      <c r="Y22" s="106"/>
      <c r="Z22" s="106"/>
      <c r="AA22" s="106"/>
      <c r="AB22" s="54"/>
      <c r="AC22" s="54"/>
      <c r="AD22" s="54"/>
      <c r="AE22" s="54"/>
      <c r="AF22" s="54"/>
      <c r="AG22" s="54"/>
      <c r="AH22" s="54"/>
      <c r="AI22" s="63"/>
      <c r="AJ22" s="10"/>
      <c r="AK22" s="10"/>
      <c r="AL22" s="54"/>
      <c r="AM22" s="54"/>
    </row>
    <row r="23" spans="1:39" ht="15" customHeight="1" x14ac:dyDescent="0.3">
      <c r="A23" s="106"/>
      <c r="B23" s="28" t="s">
        <v>51</v>
      </c>
      <c r="C23" s="258" t="s">
        <v>52</v>
      </c>
      <c r="D23" s="259"/>
      <c r="E23" s="260"/>
      <c r="F23" s="29" t="s">
        <v>53</v>
      </c>
      <c r="G23" s="13"/>
      <c r="H23" s="261" t="s">
        <v>54</v>
      </c>
      <c r="I23" s="234"/>
      <c r="J23" s="234"/>
      <c r="K23" s="234"/>
      <c r="L23" s="262" t="s">
        <v>51</v>
      </c>
      <c r="M23" s="262"/>
      <c r="N23" s="262"/>
      <c r="O23" s="234" t="s">
        <v>55</v>
      </c>
      <c r="P23" s="234"/>
      <c r="Q23" s="234"/>
      <c r="R23" s="263" t="s">
        <v>56</v>
      </c>
      <c r="S23" s="264"/>
      <c r="T23" s="264"/>
      <c r="U23" s="264"/>
      <c r="V23" s="264"/>
      <c r="W23" s="264"/>
      <c r="X23" s="264"/>
      <c r="Y23" s="264"/>
      <c r="Z23" s="265"/>
      <c r="AA23" s="54"/>
      <c r="AB23" s="104" t="s">
        <v>57</v>
      </c>
      <c r="AC23" s="101" t="s">
        <v>112</v>
      </c>
      <c r="AD23" s="234" t="s">
        <v>40</v>
      </c>
      <c r="AE23" s="234"/>
      <c r="AF23" s="235"/>
      <c r="AG23" s="54"/>
      <c r="AH23" s="54"/>
      <c r="AI23" s="63"/>
      <c r="AJ23" s="10"/>
      <c r="AK23" s="10"/>
      <c r="AL23" s="54"/>
      <c r="AM23" s="54"/>
    </row>
    <row r="24" spans="1:39" ht="15" customHeight="1" x14ac:dyDescent="0.3">
      <c r="A24" s="106"/>
      <c r="B24" s="89" t="s">
        <v>202</v>
      </c>
      <c r="C24" s="236" t="s">
        <v>203</v>
      </c>
      <c r="D24" s="237"/>
      <c r="E24" s="238"/>
      <c r="F24" s="21" t="s">
        <v>204</v>
      </c>
      <c r="G24" s="70" t="s">
        <v>58</v>
      </c>
      <c r="H24" s="239" t="s">
        <v>58</v>
      </c>
      <c r="I24" s="240"/>
      <c r="J24" s="240"/>
      <c r="K24" s="240"/>
      <c r="L24" s="241" t="s">
        <v>83</v>
      </c>
      <c r="M24" s="242"/>
      <c r="N24" s="243"/>
      <c r="O24" s="241" t="s">
        <v>83</v>
      </c>
      <c r="P24" s="242"/>
      <c r="Q24" s="243"/>
      <c r="R24" s="244" t="s">
        <v>83</v>
      </c>
      <c r="S24" s="245"/>
      <c r="T24" s="245"/>
      <c r="U24" s="245"/>
      <c r="V24" s="245"/>
      <c r="W24" s="245"/>
      <c r="X24" s="245"/>
      <c r="Y24" s="245"/>
      <c r="Z24" s="246"/>
      <c r="AA24" s="69" t="s">
        <v>94</v>
      </c>
      <c r="AB24" s="102" t="s">
        <v>59</v>
      </c>
      <c r="AC24" s="100" t="s">
        <v>253</v>
      </c>
      <c r="AD24" s="247" t="s">
        <v>254</v>
      </c>
      <c r="AE24" s="247"/>
      <c r="AF24" s="248"/>
      <c r="AG24" s="54"/>
      <c r="AH24" s="54"/>
      <c r="AI24" s="63"/>
      <c r="AJ24" s="10"/>
      <c r="AK24" s="10"/>
      <c r="AL24" s="54"/>
      <c r="AM24" s="54"/>
    </row>
    <row r="25" spans="1:39" x14ac:dyDescent="0.3">
      <c r="A25" s="106"/>
      <c r="B25" s="89" t="s">
        <v>205</v>
      </c>
      <c r="C25" s="236" t="s">
        <v>206</v>
      </c>
      <c r="D25" s="237"/>
      <c r="E25" s="238"/>
      <c r="F25" s="21" t="s">
        <v>207</v>
      </c>
      <c r="G25" s="71" t="s">
        <v>4</v>
      </c>
      <c r="H25" s="239" t="s">
        <v>4</v>
      </c>
      <c r="I25" s="240"/>
      <c r="J25" s="240"/>
      <c r="K25" s="240"/>
      <c r="L25" s="241" t="s">
        <v>255</v>
      </c>
      <c r="M25" s="242"/>
      <c r="N25" s="243"/>
      <c r="O25" s="241" t="s">
        <v>172</v>
      </c>
      <c r="P25" s="242"/>
      <c r="Q25" s="243"/>
      <c r="R25" s="244" t="s">
        <v>256</v>
      </c>
      <c r="S25" s="245"/>
      <c r="T25" s="245"/>
      <c r="U25" s="245"/>
      <c r="V25" s="245"/>
      <c r="W25" s="245"/>
      <c r="X25" s="245"/>
      <c r="Y25" s="245"/>
      <c r="Z25" s="246"/>
      <c r="AA25" s="69" t="s">
        <v>95</v>
      </c>
      <c r="AB25" s="102" t="s">
        <v>60</v>
      </c>
      <c r="AC25" s="100"/>
      <c r="AD25" s="247" t="s">
        <v>83</v>
      </c>
      <c r="AE25" s="247"/>
      <c r="AF25" s="248"/>
      <c r="AG25" s="54"/>
      <c r="AH25" s="54"/>
      <c r="AI25" s="63"/>
      <c r="AJ25" s="10"/>
      <c r="AK25" s="10"/>
      <c r="AL25" s="54"/>
      <c r="AM25" s="54"/>
    </row>
    <row r="26" spans="1:39" x14ac:dyDescent="0.3">
      <c r="A26" s="106"/>
      <c r="B26" s="89" t="s">
        <v>208</v>
      </c>
      <c r="C26" s="236" t="s">
        <v>206</v>
      </c>
      <c r="D26" s="237"/>
      <c r="E26" s="238"/>
      <c r="F26" s="21" t="s">
        <v>207</v>
      </c>
      <c r="G26" s="71" t="s">
        <v>3</v>
      </c>
      <c r="H26" s="239" t="s">
        <v>3</v>
      </c>
      <c r="I26" s="240"/>
      <c r="J26" s="240"/>
      <c r="K26" s="240"/>
      <c r="L26" s="241" t="s">
        <v>83</v>
      </c>
      <c r="M26" s="242"/>
      <c r="N26" s="243"/>
      <c r="O26" s="241" t="s">
        <v>83</v>
      </c>
      <c r="P26" s="242"/>
      <c r="Q26" s="243"/>
      <c r="R26" s="244" t="s">
        <v>83</v>
      </c>
      <c r="S26" s="245"/>
      <c r="T26" s="245"/>
      <c r="U26" s="245"/>
      <c r="V26" s="245"/>
      <c r="W26" s="245"/>
      <c r="X26" s="245"/>
      <c r="Y26" s="245"/>
      <c r="Z26" s="246"/>
      <c r="AA26" s="69" t="s">
        <v>61</v>
      </c>
      <c r="AB26" s="102" t="s">
        <v>61</v>
      </c>
      <c r="AC26" s="100" t="s">
        <v>257</v>
      </c>
      <c r="AD26" s="247" t="s">
        <v>258</v>
      </c>
      <c r="AE26" s="247"/>
      <c r="AF26" s="248"/>
      <c r="AG26" s="54"/>
      <c r="AH26" s="54"/>
      <c r="AI26" s="63"/>
      <c r="AJ26" s="10"/>
      <c r="AK26" s="10"/>
      <c r="AL26" s="54"/>
      <c r="AM26" s="54"/>
    </row>
    <row r="27" spans="1:39" x14ac:dyDescent="0.3">
      <c r="A27" s="106"/>
      <c r="B27" s="89" t="s">
        <v>209</v>
      </c>
      <c r="C27" s="236" t="s">
        <v>206</v>
      </c>
      <c r="D27" s="237"/>
      <c r="E27" s="238"/>
      <c r="F27" s="21" t="s">
        <v>207</v>
      </c>
      <c r="G27" s="71" t="s">
        <v>99</v>
      </c>
      <c r="H27" s="239" t="s">
        <v>2</v>
      </c>
      <c r="I27" s="240"/>
      <c r="J27" s="240"/>
      <c r="K27" s="240"/>
      <c r="L27" s="241" t="s">
        <v>259</v>
      </c>
      <c r="M27" s="242"/>
      <c r="N27" s="243"/>
      <c r="O27" s="241" t="s">
        <v>172</v>
      </c>
      <c r="P27" s="242"/>
      <c r="Q27" s="243"/>
      <c r="R27" s="244" t="s">
        <v>256</v>
      </c>
      <c r="S27" s="245"/>
      <c r="T27" s="245"/>
      <c r="U27" s="245"/>
      <c r="V27" s="245"/>
      <c r="W27" s="245"/>
      <c r="X27" s="245"/>
      <c r="Y27" s="245"/>
      <c r="Z27" s="246"/>
      <c r="AA27" s="69" t="s">
        <v>96</v>
      </c>
      <c r="AB27" s="102" t="s">
        <v>62</v>
      </c>
      <c r="AC27" s="100" t="s">
        <v>83</v>
      </c>
      <c r="AD27" s="247" t="s">
        <v>83</v>
      </c>
      <c r="AE27" s="247"/>
      <c r="AF27" s="248"/>
      <c r="AG27" s="54"/>
      <c r="AH27" s="54"/>
      <c r="AI27" s="63"/>
      <c r="AJ27" s="10"/>
      <c r="AK27" s="10"/>
      <c r="AL27" s="54"/>
      <c r="AM27" s="54"/>
    </row>
    <row r="28" spans="1:39" x14ac:dyDescent="0.3">
      <c r="A28" s="106"/>
      <c r="B28" s="89" t="s">
        <v>210</v>
      </c>
      <c r="C28" s="236" t="s">
        <v>206</v>
      </c>
      <c r="D28" s="237"/>
      <c r="E28" s="238"/>
      <c r="F28" s="21" t="s">
        <v>207</v>
      </c>
      <c r="G28" s="71" t="s">
        <v>100</v>
      </c>
      <c r="H28" s="239" t="s">
        <v>63</v>
      </c>
      <c r="I28" s="240"/>
      <c r="J28" s="240"/>
      <c r="K28" s="240"/>
      <c r="L28" s="241" t="s">
        <v>260</v>
      </c>
      <c r="M28" s="242"/>
      <c r="N28" s="243"/>
      <c r="O28" s="241" t="s">
        <v>172</v>
      </c>
      <c r="P28" s="242"/>
      <c r="Q28" s="243"/>
      <c r="R28" s="244" t="s">
        <v>261</v>
      </c>
      <c r="S28" s="245"/>
      <c r="T28" s="245"/>
      <c r="U28" s="245"/>
      <c r="V28" s="245"/>
      <c r="W28" s="245"/>
      <c r="X28" s="245"/>
      <c r="Y28" s="245"/>
      <c r="Z28" s="246"/>
      <c r="AA28" s="69" t="s">
        <v>97</v>
      </c>
      <c r="AB28" s="102" t="s">
        <v>64</v>
      </c>
      <c r="AC28" s="100" t="s">
        <v>83</v>
      </c>
      <c r="AD28" s="247" t="s">
        <v>83</v>
      </c>
      <c r="AE28" s="247"/>
      <c r="AF28" s="248"/>
      <c r="AG28" s="54"/>
      <c r="AH28" s="54"/>
      <c r="AI28" s="63"/>
      <c r="AJ28" s="10"/>
      <c r="AK28" s="10"/>
      <c r="AL28" s="54"/>
      <c r="AM28" s="54"/>
    </row>
    <row r="29" spans="1:39" x14ac:dyDescent="0.3">
      <c r="A29" s="106"/>
      <c r="B29" s="89" t="s">
        <v>211</v>
      </c>
      <c r="C29" s="236" t="s">
        <v>212</v>
      </c>
      <c r="D29" s="237"/>
      <c r="E29" s="238"/>
      <c r="F29" s="21" t="s">
        <v>207</v>
      </c>
      <c r="G29" s="71" t="s">
        <v>101</v>
      </c>
      <c r="H29" s="239" t="s">
        <v>65</v>
      </c>
      <c r="I29" s="240"/>
      <c r="J29" s="240"/>
      <c r="K29" s="240"/>
      <c r="L29" s="241" t="s">
        <v>83</v>
      </c>
      <c r="M29" s="242"/>
      <c r="N29" s="243"/>
      <c r="O29" s="241" t="s">
        <v>83</v>
      </c>
      <c r="P29" s="242"/>
      <c r="Q29" s="243"/>
      <c r="R29" s="244" t="s">
        <v>83</v>
      </c>
      <c r="S29" s="245"/>
      <c r="T29" s="245"/>
      <c r="U29" s="245"/>
      <c r="V29" s="245"/>
      <c r="W29" s="245"/>
      <c r="X29" s="245"/>
      <c r="Y29" s="245"/>
      <c r="Z29" s="246"/>
      <c r="AA29" s="69" t="s">
        <v>66</v>
      </c>
      <c r="AB29" s="102" t="s">
        <v>66</v>
      </c>
      <c r="AC29" s="100" t="s">
        <v>83</v>
      </c>
      <c r="AD29" s="247" t="s">
        <v>83</v>
      </c>
      <c r="AE29" s="247"/>
      <c r="AF29" s="248"/>
      <c r="AG29" s="54"/>
      <c r="AH29" s="54"/>
      <c r="AI29" s="63"/>
      <c r="AJ29" s="10"/>
      <c r="AK29" s="10"/>
      <c r="AL29" s="54"/>
      <c r="AM29" s="54"/>
    </row>
    <row r="30" spans="1:39" ht="15" thickBot="1" x14ac:dyDescent="0.35">
      <c r="A30" s="106"/>
      <c r="B30" s="89" t="s">
        <v>213</v>
      </c>
      <c r="C30" s="236" t="s">
        <v>214</v>
      </c>
      <c r="D30" s="237"/>
      <c r="E30" s="238"/>
      <c r="F30" s="21" t="s">
        <v>207</v>
      </c>
      <c r="G30" s="71" t="s">
        <v>102</v>
      </c>
      <c r="H30" s="239" t="s">
        <v>67</v>
      </c>
      <c r="I30" s="240"/>
      <c r="J30" s="240"/>
      <c r="K30" s="240"/>
      <c r="L30" s="241" t="s">
        <v>262</v>
      </c>
      <c r="M30" s="242"/>
      <c r="N30" s="243"/>
      <c r="O30" s="241" t="s">
        <v>172</v>
      </c>
      <c r="P30" s="242"/>
      <c r="Q30" s="243"/>
      <c r="R30" s="244" t="s">
        <v>261</v>
      </c>
      <c r="S30" s="245"/>
      <c r="T30" s="245"/>
      <c r="U30" s="245"/>
      <c r="V30" s="245"/>
      <c r="W30" s="245"/>
      <c r="X30" s="245"/>
      <c r="Y30" s="245"/>
      <c r="Z30" s="246"/>
      <c r="AA30" s="69" t="s">
        <v>98</v>
      </c>
      <c r="AB30" s="108" t="s">
        <v>68</v>
      </c>
      <c r="AC30" s="84" t="s">
        <v>183</v>
      </c>
      <c r="AD30" s="282"/>
      <c r="AE30" s="282"/>
      <c r="AF30" s="283"/>
      <c r="AG30" s="54"/>
      <c r="AH30" s="54"/>
      <c r="AI30" s="63"/>
      <c r="AJ30" s="10"/>
      <c r="AK30" s="10"/>
      <c r="AL30" s="54"/>
      <c r="AM30" s="54"/>
    </row>
    <row r="31" spans="1:39" ht="15" thickBot="1" x14ac:dyDescent="0.35">
      <c r="A31" s="106"/>
      <c r="B31" s="89" t="s">
        <v>215</v>
      </c>
      <c r="C31" s="236" t="s">
        <v>216</v>
      </c>
      <c r="D31" s="237"/>
      <c r="E31" s="238"/>
      <c r="F31" s="21" t="s">
        <v>207</v>
      </c>
      <c r="G31" s="71" t="s">
        <v>103</v>
      </c>
      <c r="H31" s="239" t="s">
        <v>69</v>
      </c>
      <c r="I31" s="240"/>
      <c r="J31" s="240"/>
      <c r="K31" s="240"/>
      <c r="L31" s="241" t="s">
        <v>83</v>
      </c>
      <c r="M31" s="242"/>
      <c r="N31" s="243"/>
      <c r="O31" s="241" t="s">
        <v>83</v>
      </c>
      <c r="P31" s="242"/>
      <c r="Q31" s="243"/>
      <c r="R31" s="244" t="s">
        <v>83</v>
      </c>
      <c r="S31" s="245"/>
      <c r="T31" s="245"/>
      <c r="U31" s="245"/>
      <c r="V31" s="245"/>
      <c r="W31" s="245"/>
      <c r="X31" s="245"/>
      <c r="Y31" s="245"/>
      <c r="Z31" s="246"/>
      <c r="AA31" s="54"/>
      <c r="AB31" s="289"/>
      <c r="AC31" s="289"/>
      <c r="AD31" s="289"/>
      <c r="AE31" s="289"/>
      <c r="AF31" s="289"/>
      <c r="AG31" s="54"/>
      <c r="AH31" s="54"/>
      <c r="AI31" s="63"/>
      <c r="AJ31" s="10"/>
      <c r="AK31" s="10"/>
      <c r="AL31" s="54"/>
      <c r="AM31" s="54"/>
    </row>
    <row r="32" spans="1:39" x14ac:dyDescent="0.3">
      <c r="A32" s="106"/>
      <c r="B32" s="89" t="s">
        <v>217</v>
      </c>
      <c r="C32" s="236" t="s">
        <v>206</v>
      </c>
      <c r="D32" s="237"/>
      <c r="E32" s="238"/>
      <c r="F32" s="21" t="s">
        <v>207</v>
      </c>
      <c r="G32" s="71" t="s">
        <v>104</v>
      </c>
      <c r="H32" s="239" t="s">
        <v>70</v>
      </c>
      <c r="I32" s="240"/>
      <c r="J32" s="240"/>
      <c r="K32" s="240"/>
      <c r="L32" s="241" t="s">
        <v>83</v>
      </c>
      <c r="M32" s="242"/>
      <c r="N32" s="243"/>
      <c r="O32" s="241" t="s">
        <v>83</v>
      </c>
      <c r="P32" s="242"/>
      <c r="Q32" s="243"/>
      <c r="R32" s="244" t="s">
        <v>83</v>
      </c>
      <c r="S32" s="245"/>
      <c r="T32" s="245"/>
      <c r="U32" s="245"/>
      <c r="V32" s="245"/>
      <c r="W32" s="245"/>
      <c r="X32" s="245"/>
      <c r="Y32" s="245"/>
      <c r="Z32" s="246"/>
      <c r="AA32" s="54"/>
      <c r="AB32" s="30" t="s">
        <v>71</v>
      </c>
      <c r="AC32" s="290" t="s">
        <v>72</v>
      </c>
      <c r="AD32" s="291"/>
      <c r="AE32" s="31"/>
      <c r="AF32" s="32" t="s">
        <v>73</v>
      </c>
      <c r="AG32" s="54"/>
      <c r="AH32" s="54"/>
      <c r="AI32" s="63"/>
      <c r="AJ32" s="10"/>
      <c r="AK32" s="10"/>
      <c r="AL32" s="54"/>
      <c r="AM32" s="54"/>
    </row>
    <row r="33" spans="1:39" x14ac:dyDescent="0.3">
      <c r="A33" s="106"/>
      <c r="B33" s="89" t="s">
        <v>218</v>
      </c>
      <c r="C33" s="236" t="s">
        <v>206</v>
      </c>
      <c r="D33" s="237"/>
      <c r="E33" s="238"/>
      <c r="F33" s="21" t="s">
        <v>207</v>
      </c>
      <c r="G33" s="71" t="s">
        <v>105</v>
      </c>
      <c r="H33" s="284" t="s">
        <v>74</v>
      </c>
      <c r="I33" s="285"/>
      <c r="J33" s="285"/>
      <c r="K33" s="286"/>
      <c r="L33" s="241" t="s">
        <v>263</v>
      </c>
      <c r="M33" s="242"/>
      <c r="N33" s="243"/>
      <c r="O33" s="241" t="s">
        <v>172</v>
      </c>
      <c r="P33" s="242"/>
      <c r="Q33" s="243"/>
      <c r="R33" s="244" t="s">
        <v>261</v>
      </c>
      <c r="S33" s="245"/>
      <c r="T33" s="245"/>
      <c r="U33" s="245"/>
      <c r="V33" s="245"/>
      <c r="W33" s="245"/>
      <c r="X33" s="245"/>
      <c r="Y33" s="245"/>
      <c r="Z33" s="246"/>
      <c r="AA33" s="54"/>
      <c r="AB33" s="24"/>
      <c r="AC33" s="287"/>
      <c r="AD33" s="288"/>
      <c r="AE33" s="106"/>
      <c r="AF33" s="26"/>
      <c r="AG33" s="54"/>
      <c r="AH33" s="54"/>
      <c r="AI33" s="63"/>
      <c r="AJ33" s="10"/>
      <c r="AK33" s="10"/>
      <c r="AL33" s="54"/>
      <c r="AM33" s="54"/>
    </row>
    <row r="34" spans="1:39" x14ac:dyDescent="0.3">
      <c r="A34" s="106"/>
      <c r="B34" s="89" t="s">
        <v>219</v>
      </c>
      <c r="C34" s="236" t="s">
        <v>220</v>
      </c>
      <c r="D34" s="237"/>
      <c r="E34" s="238"/>
      <c r="F34" s="21" t="s">
        <v>207</v>
      </c>
      <c r="G34" s="71" t="s">
        <v>106</v>
      </c>
      <c r="H34" s="239" t="s">
        <v>75</v>
      </c>
      <c r="I34" s="240"/>
      <c r="J34" s="240"/>
      <c r="K34" s="240"/>
      <c r="L34" s="241" t="s">
        <v>83</v>
      </c>
      <c r="M34" s="242"/>
      <c r="N34" s="243"/>
      <c r="O34" s="241" t="s">
        <v>83</v>
      </c>
      <c r="P34" s="242"/>
      <c r="Q34" s="243"/>
      <c r="R34" s="244" t="s">
        <v>261</v>
      </c>
      <c r="S34" s="245"/>
      <c r="T34" s="245"/>
      <c r="U34" s="245"/>
      <c r="V34" s="245"/>
      <c r="W34" s="245"/>
      <c r="X34" s="245"/>
      <c r="Y34" s="245"/>
      <c r="Z34" s="246"/>
      <c r="AA34" s="54"/>
      <c r="AB34" s="24"/>
      <c r="AC34" s="287"/>
      <c r="AD34" s="288"/>
      <c r="AE34" s="106"/>
      <c r="AF34" s="26"/>
      <c r="AG34" s="54"/>
      <c r="AH34" s="54"/>
      <c r="AI34" s="63"/>
      <c r="AJ34" s="10"/>
      <c r="AK34" s="10"/>
      <c r="AL34" s="54"/>
      <c r="AM34" s="54"/>
    </row>
    <row r="35" spans="1:39" x14ac:dyDescent="0.3">
      <c r="A35" s="106"/>
      <c r="B35" s="89" t="s">
        <v>221</v>
      </c>
      <c r="C35" s="236" t="s">
        <v>222</v>
      </c>
      <c r="D35" s="237"/>
      <c r="E35" s="238"/>
      <c r="F35" s="21" t="s">
        <v>207</v>
      </c>
      <c r="G35" s="71" t="s">
        <v>5</v>
      </c>
      <c r="H35" s="239" t="s">
        <v>5</v>
      </c>
      <c r="I35" s="240"/>
      <c r="J35" s="240"/>
      <c r="K35" s="240"/>
      <c r="L35" s="241" t="s">
        <v>264</v>
      </c>
      <c r="M35" s="242"/>
      <c r="N35" s="243"/>
      <c r="O35" s="241" t="s">
        <v>172</v>
      </c>
      <c r="P35" s="242"/>
      <c r="Q35" s="243"/>
      <c r="R35" s="244" t="s">
        <v>256</v>
      </c>
      <c r="S35" s="245"/>
      <c r="T35" s="245"/>
      <c r="U35" s="245"/>
      <c r="V35" s="245"/>
      <c r="W35" s="245"/>
      <c r="X35" s="245"/>
      <c r="Y35" s="245"/>
      <c r="Z35" s="246"/>
      <c r="AA35" s="54"/>
      <c r="AB35" s="24"/>
      <c r="AC35" s="287"/>
      <c r="AD35" s="288"/>
      <c r="AE35" s="106"/>
      <c r="AF35" s="26"/>
      <c r="AG35" s="54"/>
      <c r="AH35" s="54"/>
      <c r="AI35" s="63"/>
      <c r="AJ35" s="10"/>
      <c r="AK35" s="10"/>
      <c r="AL35" s="54"/>
      <c r="AM35" s="54"/>
    </row>
    <row r="36" spans="1:39" x14ac:dyDescent="0.3">
      <c r="A36" s="106"/>
      <c r="B36" s="89" t="s">
        <v>223</v>
      </c>
      <c r="C36" s="236" t="s">
        <v>224</v>
      </c>
      <c r="D36" s="237"/>
      <c r="E36" s="238"/>
      <c r="F36" s="21" t="s">
        <v>207</v>
      </c>
      <c r="G36" s="71" t="s">
        <v>107</v>
      </c>
      <c r="H36" s="239" t="s">
        <v>76</v>
      </c>
      <c r="I36" s="240"/>
      <c r="J36" s="240"/>
      <c r="K36" s="240"/>
      <c r="L36" s="241" t="s">
        <v>265</v>
      </c>
      <c r="M36" s="242"/>
      <c r="N36" s="243"/>
      <c r="O36" s="241" t="s">
        <v>172</v>
      </c>
      <c r="P36" s="242"/>
      <c r="Q36" s="243"/>
      <c r="R36" s="244" t="s">
        <v>266</v>
      </c>
      <c r="S36" s="245"/>
      <c r="T36" s="245"/>
      <c r="U36" s="245"/>
      <c r="V36" s="245"/>
      <c r="W36" s="245"/>
      <c r="X36" s="245"/>
      <c r="Y36" s="245"/>
      <c r="Z36" s="246"/>
      <c r="AA36" s="54"/>
      <c r="AB36" s="24"/>
      <c r="AC36" s="287"/>
      <c r="AD36" s="288"/>
      <c r="AE36" s="106"/>
      <c r="AF36" s="26"/>
      <c r="AG36" s="54"/>
      <c r="AH36" s="54"/>
      <c r="AI36" s="63"/>
      <c r="AJ36" s="10"/>
      <c r="AK36" s="10"/>
      <c r="AL36" s="54"/>
      <c r="AM36" s="54"/>
    </row>
    <row r="37" spans="1:39" x14ac:dyDescent="0.3">
      <c r="A37" s="106"/>
      <c r="B37" s="89" t="s">
        <v>225</v>
      </c>
      <c r="C37" s="236" t="s">
        <v>226</v>
      </c>
      <c r="D37" s="237"/>
      <c r="E37" s="238"/>
      <c r="F37" s="21" t="s">
        <v>207</v>
      </c>
      <c r="G37" s="71" t="s">
        <v>108</v>
      </c>
      <c r="H37" s="239" t="s">
        <v>77</v>
      </c>
      <c r="I37" s="240"/>
      <c r="J37" s="240"/>
      <c r="K37" s="240"/>
      <c r="L37" s="241" t="s">
        <v>267</v>
      </c>
      <c r="M37" s="242"/>
      <c r="N37" s="243"/>
      <c r="O37" s="241" t="s">
        <v>172</v>
      </c>
      <c r="P37" s="242"/>
      <c r="Q37" s="243"/>
      <c r="R37" s="244" t="s">
        <v>266</v>
      </c>
      <c r="S37" s="245"/>
      <c r="T37" s="245"/>
      <c r="U37" s="245"/>
      <c r="V37" s="245"/>
      <c r="W37" s="245"/>
      <c r="X37" s="245"/>
      <c r="Y37" s="245"/>
      <c r="Z37" s="246"/>
      <c r="AA37" s="54"/>
      <c r="AB37" s="24"/>
      <c r="AC37" s="287"/>
      <c r="AD37" s="288"/>
      <c r="AE37" s="106"/>
      <c r="AF37" s="26"/>
      <c r="AG37" s="54"/>
      <c r="AH37" s="54"/>
      <c r="AI37" s="63"/>
      <c r="AJ37" s="10"/>
      <c r="AK37" s="10"/>
      <c r="AL37" s="54"/>
      <c r="AM37" s="54"/>
    </row>
    <row r="38" spans="1:39" x14ac:dyDescent="0.3">
      <c r="A38" s="106"/>
      <c r="B38" s="89" t="s">
        <v>227</v>
      </c>
      <c r="C38" s="236" t="s">
        <v>224</v>
      </c>
      <c r="D38" s="237"/>
      <c r="E38" s="238"/>
      <c r="F38" s="21" t="s">
        <v>207</v>
      </c>
      <c r="G38" s="71" t="s">
        <v>109</v>
      </c>
      <c r="H38" s="239" t="s">
        <v>78</v>
      </c>
      <c r="I38" s="240"/>
      <c r="J38" s="240"/>
      <c r="K38" s="240"/>
      <c r="L38" s="241" t="s">
        <v>268</v>
      </c>
      <c r="M38" s="242"/>
      <c r="N38" s="243"/>
      <c r="O38" s="241" t="s">
        <v>172</v>
      </c>
      <c r="P38" s="242"/>
      <c r="Q38" s="243"/>
      <c r="R38" s="244" t="s">
        <v>266</v>
      </c>
      <c r="S38" s="245"/>
      <c r="T38" s="245"/>
      <c r="U38" s="245"/>
      <c r="V38" s="245"/>
      <c r="W38" s="245"/>
      <c r="X38" s="245"/>
      <c r="Y38" s="245"/>
      <c r="Z38" s="246"/>
      <c r="AA38" s="54"/>
      <c r="AB38" s="24"/>
      <c r="AC38" s="287"/>
      <c r="AD38" s="288"/>
      <c r="AE38" s="106"/>
      <c r="AF38" s="26"/>
      <c r="AG38" s="54"/>
      <c r="AH38" s="54"/>
      <c r="AI38" s="63"/>
      <c r="AJ38" s="10"/>
      <c r="AK38" s="10"/>
      <c r="AL38" s="54"/>
      <c r="AM38" s="54"/>
    </row>
    <row r="39" spans="1:39" ht="15" thickBot="1" x14ac:dyDescent="0.35">
      <c r="A39" s="106"/>
      <c r="B39" s="89" t="s">
        <v>228</v>
      </c>
      <c r="C39" s="236" t="s">
        <v>224</v>
      </c>
      <c r="D39" s="237"/>
      <c r="E39" s="238"/>
      <c r="F39" s="21" t="s">
        <v>207</v>
      </c>
      <c r="G39" s="71" t="s">
        <v>79</v>
      </c>
      <c r="H39" s="239" t="s">
        <v>79</v>
      </c>
      <c r="I39" s="240"/>
      <c r="J39" s="240"/>
      <c r="K39" s="240"/>
      <c r="L39" s="241" t="s">
        <v>269</v>
      </c>
      <c r="M39" s="242"/>
      <c r="N39" s="243"/>
      <c r="O39" s="241" t="s">
        <v>172</v>
      </c>
      <c r="P39" s="242"/>
      <c r="Q39" s="243"/>
      <c r="R39" s="244" t="s">
        <v>266</v>
      </c>
      <c r="S39" s="245"/>
      <c r="T39" s="245"/>
      <c r="U39" s="245"/>
      <c r="V39" s="245"/>
      <c r="W39" s="245"/>
      <c r="X39" s="245"/>
      <c r="Y39" s="245"/>
      <c r="Z39" s="246"/>
      <c r="AA39" s="54"/>
      <c r="AB39" s="25"/>
      <c r="AC39" s="321"/>
      <c r="AD39" s="322"/>
      <c r="AE39" s="106"/>
      <c r="AF39" s="27"/>
      <c r="AG39" s="54"/>
      <c r="AH39" s="54"/>
      <c r="AI39" s="63"/>
      <c r="AJ39" s="10"/>
      <c r="AK39" s="10"/>
      <c r="AL39" s="54"/>
      <c r="AM39" s="54"/>
    </row>
    <row r="40" spans="1:39" x14ac:dyDescent="0.3">
      <c r="A40" s="106"/>
      <c r="B40" s="89" t="s">
        <v>229</v>
      </c>
      <c r="C40" s="236" t="s">
        <v>226</v>
      </c>
      <c r="D40" s="237"/>
      <c r="E40" s="238"/>
      <c r="F40" s="21" t="s">
        <v>207</v>
      </c>
      <c r="G40" s="71" t="s">
        <v>110</v>
      </c>
      <c r="H40" s="239" t="s">
        <v>80</v>
      </c>
      <c r="I40" s="240"/>
      <c r="J40" s="240"/>
      <c r="K40" s="240"/>
      <c r="L40" s="241" t="s">
        <v>83</v>
      </c>
      <c r="M40" s="242"/>
      <c r="N40" s="243"/>
      <c r="O40" s="241" t="s">
        <v>83</v>
      </c>
      <c r="P40" s="242"/>
      <c r="Q40" s="243"/>
      <c r="R40" s="244" t="s">
        <v>83</v>
      </c>
      <c r="S40" s="245"/>
      <c r="T40" s="245"/>
      <c r="U40" s="245"/>
      <c r="V40" s="245"/>
      <c r="W40" s="245"/>
      <c r="X40" s="245"/>
      <c r="Y40" s="245"/>
      <c r="Z40" s="246"/>
      <c r="AA40" s="54"/>
      <c r="AB40" s="106"/>
      <c r="AC40" s="106"/>
      <c r="AD40" s="106"/>
      <c r="AE40" s="106"/>
      <c r="AF40" s="106"/>
      <c r="AG40" s="54"/>
      <c r="AH40" s="54"/>
      <c r="AI40" s="63"/>
      <c r="AJ40" s="10"/>
      <c r="AK40" s="10"/>
      <c r="AL40" s="54"/>
      <c r="AM40" s="54"/>
    </row>
    <row r="41" spans="1:39" x14ac:dyDescent="0.3">
      <c r="A41" s="106"/>
      <c r="B41" s="89" t="s">
        <v>230</v>
      </c>
      <c r="C41" s="236" t="s">
        <v>231</v>
      </c>
      <c r="D41" s="237"/>
      <c r="E41" s="238"/>
      <c r="F41" s="21" t="s">
        <v>207</v>
      </c>
      <c r="G41" s="71" t="s">
        <v>111</v>
      </c>
      <c r="H41" s="239" t="s">
        <v>81</v>
      </c>
      <c r="I41" s="240"/>
      <c r="J41" s="240"/>
      <c r="K41" s="240"/>
      <c r="L41" s="241" t="s">
        <v>270</v>
      </c>
      <c r="M41" s="242"/>
      <c r="N41" s="243"/>
      <c r="O41" s="241" t="s">
        <v>172</v>
      </c>
      <c r="P41" s="242"/>
      <c r="Q41" s="243"/>
      <c r="R41" s="244" t="s">
        <v>256</v>
      </c>
      <c r="S41" s="245"/>
      <c r="T41" s="245"/>
      <c r="U41" s="245"/>
      <c r="V41" s="245"/>
      <c r="W41" s="245"/>
      <c r="X41" s="245"/>
      <c r="Y41" s="245"/>
      <c r="Z41" s="246"/>
      <c r="AA41" s="54"/>
      <c r="AB41" s="106"/>
      <c r="AC41" s="106"/>
      <c r="AD41" s="106"/>
      <c r="AE41" s="106"/>
      <c r="AF41" s="106"/>
      <c r="AG41" s="54"/>
      <c r="AH41" s="54"/>
      <c r="AI41" s="63"/>
      <c r="AJ41" s="10"/>
      <c r="AK41" s="10"/>
      <c r="AL41" s="54"/>
      <c r="AM41" s="54"/>
    </row>
    <row r="42" spans="1:39" x14ac:dyDescent="0.3">
      <c r="A42" s="106"/>
      <c r="B42" s="89" t="s">
        <v>232</v>
      </c>
      <c r="C42" s="236" t="s">
        <v>233</v>
      </c>
      <c r="D42" s="237"/>
      <c r="E42" s="238"/>
      <c r="F42" s="21" t="s">
        <v>234</v>
      </c>
      <c r="G42" s="71" t="s">
        <v>14</v>
      </c>
      <c r="H42" s="239" t="s">
        <v>88</v>
      </c>
      <c r="I42" s="240"/>
      <c r="J42" s="240"/>
      <c r="K42" s="240"/>
      <c r="L42" s="241"/>
      <c r="M42" s="242"/>
      <c r="N42" s="243"/>
      <c r="O42" s="241"/>
      <c r="P42" s="242"/>
      <c r="Q42" s="243"/>
      <c r="R42" s="244"/>
      <c r="S42" s="245"/>
      <c r="T42" s="245"/>
      <c r="U42" s="245"/>
      <c r="V42" s="245"/>
      <c r="W42" s="245"/>
      <c r="X42" s="245"/>
      <c r="Y42" s="245"/>
      <c r="Z42" s="246"/>
      <c r="AA42" s="54"/>
      <c r="AB42" s="106"/>
      <c r="AC42" s="106"/>
      <c r="AD42" s="106"/>
      <c r="AE42" s="106"/>
      <c r="AF42" s="106"/>
      <c r="AG42" s="54"/>
      <c r="AH42" s="54"/>
      <c r="AI42" s="63"/>
      <c r="AJ42" s="10"/>
      <c r="AK42" s="10"/>
      <c r="AL42" s="54"/>
      <c r="AM42" s="54"/>
    </row>
    <row r="43" spans="1:39" ht="15" thickBot="1" x14ac:dyDescent="0.35">
      <c r="A43" s="106"/>
      <c r="B43" s="90"/>
      <c r="C43" s="292"/>
      <c r="D43" s="293"/>
      <c r="E43" s="294"/>
      <c r="F43" s="60"/>
      <c r="G43" s="54"/>
      <c r="H43" s="295"/>
      <c r="I43" s="296"/>
      <c r="J43" s="296"/>
      <c r="K43" s="296"/>
      <c r="L43" s="297"/>
      <c r="M43" s="298"/>
      <c r="N43" s="299"/>
      <c r="O43" s="300"/>
      <c r="P43" s="301"/>
      <c r="Q43" s="302"/>
      <c r="R43" s="303"/>
      <c r="S43" s="304"/>
      <c r="T43" s="304"/>
      <c r="U43" s="304"/>
      <c r="V43" s="304"/>
      <c r="W43" s="304"/>
      <c r="X43" s="304"/>
      <c r="Y43" s="304"/>
      <c r="Z43" s="305"/>
      <c r="AA43" s="54"/>
      <c r="AB43" s="106"/>
      <c r="AC43" s="106"/>
      <c r="AD43" s="106"/>
      <c r="AE43" s="106"/>
      <c r="AF43" s="106"/>
      <c r="AG43" s="54"/>
      <c r="AH43" s="54"/>
      <c r="AI43" s="63"/>
      <c r="AJ43" s="10"/>
      <c r="AK43" s="10"/>
      <c r="AL43" s="54"/>
      <c r="AM43" s="54"/>
    </row>
    <row r="44" spans="1:39" ht="15" customHeight="1" x14ac:dyDescent="0.3">
      <c r="A44" s="106"/>
      <c r="B44" s="15"/>
      <c r="C44" s="106"/>
      <c r="D44" s="106"/>
      <c r="E44" s="15"/>
      <c r="F44" s="106"/>
      <c r="G44" s="54"/>
      <c r="H44" s="106"/>
      <c r="I44" s="106"/>
      <c r="J44" s="106"/>
      <c r="K44" s="106"/>
      <c r="L44" s="106"/>
      <c r="M44" s="106"/>
      <c r="N44" s="106"/>
      <c r="O44" s="106"/>
      <c r="P44" s="106"/>
      <c r="Q44" s="106"/>
      <c r="R44" s="106"/>
      <c r="S44" s="106"/>
      <c r="T44" s="106"/>
      <c r="U44" s="106"/>
      <c r="V44" s="106"/>
      <c r="W44" s="106"/>
      <c r="X44" s="106"/>
      <c r="Y44" s="106"/>
      <c r="Z44" s="106"/>
      <c r="AA44" s="54"/>
      <c r="AB44" s="106"/>
      <c r="AC44" s="106"/>
      <c r="AD44" s="106"/>
      <c r="AE44" s="106"/>
      <c r="AF44" s="106"/>
      <c r="AG44" s="54"/>
      <c r="AH44" s="54"/>
      <c r="AI44" s="63"/>
      <c r="AJ44" s="10"/>
      <c r="AK44" s="10"/>
      <c r="AL44" s="54"/>
      <c r="AM44" s="54"/>
    </row>
    <row r="45" spans="1:39" ht="15" customHeight="1" x14ac:dyDescent="0.3">
      <c r="A45" s="54"/>
      <c r="B45" s="2"/>
      <c r="C45" s="54"/>
      <c r="D45" s="54"/>
      <c r="E45" s="2"/>
      <c r="F45" s="54"/>
      <c r="G45" s="54"/>
      <c r="H45" s="106"/>
      <c r="I45" s="106"/>
      <c r="J45" s="106"/>
      <c r="K45" s="106"/>
      <c r="L45" s="106"/>
      <c r="M45" s="106"/>
      <c r="N45" s="106"/>
      <c r="O45" s="106"/>
      <c r="P45" s="106"/>
      <c r="Q45" s="106"/>
      <c r="R45" s="106"/>
      <c r="S45" s="106"/>
      <c r="T45" s="106"/>
      <c r="U45" s="106"/>
      <c r="V45" s="106"/>
      <c r="W45" s="106"/>
      <c r="X45" s="106"/>
      <c r="Y45" s="106"/>
      <c r="Z45" s="106"/>
      <c r="AA45" s="54"/>
      <c r="AB45" s="106"/>
      <c r="AC45" s="106"/>
      <c r="AD45" s="106"/>
      <c r="AE45" s="106"/>
      <c r="AF45" s="106"/>
      <c r="AG45" s="54"/>
      <c r="AH45" s="54"/>
      <c r="AI45" s="63"/>
      <c r="AJ45" s="10"/>
      <c r="AK45" s="10"/>
      <c r="AL45" s="54"/>
      <c r="AM45" s="54"/>
    </row>
    <row r="46" spans="1:39" ht="15" customHeight="1" x14ac:dyDescent="0.3">
      <c r="A46" s="54"/>
      <c r="B46" s="2"/>
      <c r="C46" s="54"/>
      <c r="D46" s="54"/>
      <c r="E46" s="2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63"/>
      <c r="AJ46" s="10"/>
      <c r="AK46" s="10"/>
      <c r="AL46" s="54"/>
      <c r="AM46" s="54"/>
    </row>
    <row r="47" spans="1:39" ht="15" customHeight="1" x14ac:dyDescent="0.3">
      <c r="A47" s="54"/>
      <c r="B47" s="2"/>
      <c r="C47" s="54"/>
      <c r="D47" s="54"/>
      <c r="E47" s="2"/>
      <c r="F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63"/>
      <c r="AJ47" s="10"/>
      <c r="AK47" s="10"/>
      <c r="AL47" s="54"/>
      <c r="AM47" s="54"/>
    </row>
    <row r="48" spans="1:39" ht="15" customHeight="1" x14ac:dyDescent="0.3"/>
    <row r="49" ht="15" customHeight="1" x14ac:dyDescent="0.3"/>
    <row r="50" ht="15" customHeight="1" x14ac:dyDescent="0.3"/>
  </sheetData>
  <mergeCells count="203">
    <mergeCell ref="V3:W3"/>
    <mergeCell ref="H4:H5"/>
    <mergeCell ref="E7:E8"/>
    <mergeCell ref="F7:F8"/>
    <mergeCell ref="G7:I8"/>
    <mergeCell ref="J7:Q7"/>
    <mergeCell ref="R7:W7"/>
    <mergeCell ref="J8:K8"/>
    <mergeCell ref="L8:M8"/>
    <mergeCell ref="N8:O8"/>
    <mergeCell ref="H2:H3"/>
    <mergeCell ref="J2:Q2"/>
    <mergeCell ref="R2:W2"/>
    <mergeCell ref="J3:K3"/>
    <mergeCell ref="L3:M3"/>
    <mergeCell ref="N3:O3"/>
    <mergeCell ref="P3:Q3"/>
    <mergeCell ref="R3:S3"/>
    <mergeCell ref="T3:U3"/>
    <mergeCell ref="P8:Q8"/>
    <mergeCell ref="R8:S8"/>
    <mergeCell ref="T8:U8"/>
    <mergeCell ref="V8:W8"/>
    <mergeCell ref="G9:I9"/>
    <mergeCell ref="J9:K9"/>
    <mergeCell ref="L9:M9"/>
    <mergeCell ref="N9:O9"/>
    <mergeCell ref="P9:Q9"/>
    <mergeCell ref="R9:S9"/>
    <mergeCell ref="T9:U9"/>
    <mergeCell ref="V9:W9"/>
    <mergeCell ref="G10:I10"/>
    <mergeCell ref="J10:K10"/>
    <mergeCell ref="L10:M10"/>
    <mergeCell ref="N10:O10"/>
    <mergeCell ref="P10:Q10"/>
    <mergeCell ref="R10:S10"/>
    <mergeCell ref="T10:U10"/>
    <mergeCell ref="V10:W10"/>
    <mergeCell ref="Y13:Z13"/>
    <mergeCell ref="AA13:AC13"/>
    <mergeCell ref="AD13:AF13"/>
    <mergeCell ref="Y14:Z21"/>
    <mergeCell ref="AA14:AC21"/>
    <mergeCell ref="AD14:AF21"/>
    <mergeCell ref="T11:U11"/>
    <mergeCell ref="V11:W11"/>
    <mergeCell ref="G13:I13"/>
    <mergeCell ref="J13:K13"/>
    <mergeCell ref="L13:M13"/>
    <mergeCell ref="N13:O13"/>
    <mergeCell ref="P13:Q13"/>
    <mergeCell ref="R13:S13"/>
    <mergeCell ref="T13:U13"/>
    <mergeCell ref="V13:W13"/>
    <mergeCell ref="G11:I11"/>
    <mergeCell ref="J11:K11"/>
    <mergeCell ref="L11:M11"/>
    <mergeCell ref="N11:O11"/>
    <mergeCell ref="P11:Q11"/>
    <mergeCell ref="R11:S11"/>
    <mergeCell ref="Y2:AF11"/>
    <mergeCell ref="S18:W18"/>
    <mergeCell ref="J19:J20"/>
    <mergeCell ref="K19:K20"/>
    <mergeCell ref="L19:R20"/>
    <mergeCell ref="S19:W20"/>
    <mergeCell ref="B20:H21"/>
    <mergeCell ref="L21:R21"/>
    <mergeCell ref="S21:W21"/>
    <mergeCell ref="F15:H15"/>
    <mergeCell ref="J15:R15"/>
    <mergeCell ref="S15:W15"/>
    <mergeCell ref="E16:E18"/>
    <mergeCell ref="F16:H18"/>
    <mergeCell ref="L16:R16"/>
    <mergeCell ref="S16:W16"/>
    <mergeCell ref="L17:R17"/>
    <mergeCell ref="S17:W17"/>
    <mergeCell ref="L18:R18"/>
    <mergeCell ref="C24:E24"/>
    <mergeCell ref="H24:K24"/>
    <mergeCell ref="L24:N24"/>
    <mergeCell ref="O24:Q24"/>
    <mergeCell ref="R24:Z24"/>
    <mergeCell ref="AD24:AF24"/>
    <mergeCell ref="C23:E23"/>
    <mergeCell ref="H23:K23"/>
    <mergeCell ref="L23:N23"/>
    <mergeCell ref="O23:Q23"/>
    <mergeCell ref="R23:Z23"/>
    <mergeCell ref="AD23:AF23"/>
    <mergeCell ref="C26:E26"/>
    <mergeCell ref="H26:K26"/>
    <mergeCell ref="L26:N26"/>
    <mergeCell ref="O26:Q26"/>
    <mergeCell ref="R26:Z26"/>
    <mergeCell ref="AD26:AF26"/>
    <mergeCell ref="C25:E25"/>
    <mergeCell ref="H25:K25"/>
    <mergeCell ref="L25:N25"/>
    <mergeCell ref="O25:Q25"/>
    <mergeCell ref="R25:Z25"/>
    <mergeCell ref="AD25:AF25"/>
    <mergeCell ref="C28:E28"/>
    <mergeCell ref="H28:K28"/>
    <mergeCell ref="L28:N28"/>
    <mergeCell ref="O28:Q28"/>
    <mergeCell ref="R28:Z28"/>
    <mergeCell ref="AD28:AF28"/>
    <mergeCell ref="C27:E27"/>
    <mergeCell ref="H27:K27"/>
    <mergeCell ref="L27:N27"/>
    <mergeCell ref="O27:Q27"/>
    <mergeCell ref="R27:Z27"/>
    <mergeCell ref="AD27:AF27"/>
    <mergeCell ref="C30:E30"/>
    <mergeCell ref="H30:K30"/>
    <mergeCell ref="L30:N30"/>
    <mergeCell ref="O30:Q30"/>
    <mergeCell ref="R30:Z30"/>
    <mergeCell ref="AD30:AF30"/>
    <mergeCell ref="C29:E29"/>
    <mergeCell ref="H29:K29"/>
    <mergeCell ref="L29:N29"/>
    <mergeCell ref="O29:Q29"/>
    <mergeCell ref="R29:Z29"/>
    <mergeCell ref="AD29:AF29"/>
    <mergeCell ref="C33:E33"/>
    <mergeCell ref="H33:K33"/>
    <mergeCell ref="L33:N33"/>
    <mergeCell ref="O33:Q33"/>
    <mergeCell ref="R33:Z33"/>
    <mergeCell ref="AC33:AD33"/>
    <mergeCell ref="AD31:AF31"/>
    <mergeCell ref="C32:E32"/>
    <mergeCell ref="H32:K32"/>
    <mergeCell ref="L32:N32"/>
    <mergeCell ref="O32:Q32"/>
    <mergeCell ref="R32:Z32"/>
    <mergeCell ref="AC32:AD32"/>
    <mergeCell ref="C31:E31"/>
    <mergeCell ref="H31:K31"/>
    <mergeCell ref="L31:N31"/>
    <mergeCell ref="O31:Q31"/>
    <mergeCell ref="R31:Z31"/>
    <mergeCell ref="AB31:AC31"/>
    <mergeCell ref="C35:E35"/>
    <mergeCell ref="H35:K35"/>
    <mergeCell ref="L35:N35"/>
    <mergeCell ref="O35:Q35"/>
    <mergeCell ref="R35:Z35"/>
    <mergeCell ref="AC35:AD35"/>
    <mergeCell ref="C34:E34"/>
    <mergeCell ref="H34:K34"/>
    <mergeCell ref="L34:N34"/>
    <mergeCell ref="O34:Q34"/>
    <mergeCell ref="R34:Z34"/>
    <mergeCell ref="AC34:AD34"/>
    <mergeCell ref="C37:E37"/>
    <mergeCell ref="H37:K37"/>
    <mergeCell ref="L37:N37"/>
    <mergeCell ref="O37:Q37"/>
    <mergeCell ref="R37:Z37"/>
    <mergeCell ref="AC37:AD37"/>
    <mergeCell ref="C36:E36"/>
    <mergeCell ref="H36:K36"/>
    <mergeCell ref="L36:N36"/>
    <mergeCell ref="O36:Q36"/>
    <mergeCell ref="R36:Z36"/>
    <mergeCell ref="AC36:AD36"/>
    <mergeCell ref="C39:E39"/>
    <mergeCell ref="H39:K39"/>
    <mergeCell ref="L39:N39"/>
    <mergeCell ref="O39:Q39"/>
    <mergeCell ref="R39:Z39"/>
    <mergeCell ref="AC39:AD39"/>
    <mergeCell ref="C38:E38"/>
    <mergeCell ref="H38:K38"/>
    <mergeCell ref="L38:N38"/>
    <mergeCell ref="O38:Q38"/>
    <mergeCell ref="R38:Z38"/>
    <mergeCell ref="AC38:AD38"/>
    <mergeCell ref="C40:E40"/>
    <mergeCell ref="H40:K40"/>
    <mergeCell ref="L40:N40"/>
    <mergeCell ref="O40:Q40"/>
    <mergeCell ref="R40:Z40"/>
    <mergeCell ref="C41:E41"/>
    <mergeCell ref="H41:K41"/>
    <mergeCell ref="L41:N41"/>
    <mergeCell ref="O41:Q41"/>
    <mergeCell ref="R41:Z41"/>
    <mergeCell ref="C42:E42"/>
    <mergeCell ref="H42:K42"/>
    <mergeCell ref="L42:N42"/>
    <mergeCell ref="O42:Q42"/>
    <mergeCell ref="R42:Z42"/>
    <mergeCell ref="C43:E43"/>
    <mergeCell ref="H43:K43"/>
    <mergeCell ref="L43:N43"/>
    <mergeCell ref="O43:Q43"/>
    <mergeCell ref="R43:Z43"/>
  </mergeCells>
  <conditionalFormatting sqref="F3:F5">
    <cfRule type="cellIs" dxfId="23" priority="10" operator="greaterThan">
      <formula>0.895</formula>
    </cfRule>
    <cfRule type="cellIs" dxfId="22" priority="11" operator="greaterThan">
      <formula>0.845</formula>
    </cfRule>
    <cfRule type="cellIs" dxfId="21" priority="12" operator="lessThan">
      <formula>0.85</formula>
    </cfRule>
  </conditionalFormatting>
  <conditionalFormatting sqref="H4:H5">
    <cfRule type="cellIs" dxfId="20" priority="8" operator="equal">
      <formula>"↓"</formula>
    </cfRule>
    <cfRule type="cellIs" dxfId="19" priority="9" operator="equal">
      <formula>"↑"</formula>
    </cfRule>
  </conditionalFormatting>
  <conditionalFormatting sqref="S16:W21">
    <cfRule type="expression" dxfId="18" priority="7">
      <formula>AND(ISNUMBER(S16),S16&lt;TODAY())</formula>
    </cfRule>
  </conditionalFormatting>
  <conditionalFormatting sqref="G10:W10">
    <cfRule type="cellIs" dxfId="17" priority="6" operator="greaterThan">
      <formula>G9</formula>
    </cfRule>
  </conditionalFormatting>
  <conditionalFormatting sqref="G11:W11">
    <cfRule type="cellIs" dxfId="16" priority="5" operator="greaterThan">
      <formula>0</formula>
    </cfRule>
  </conditionalFormatting>
  <conditionalFormatting sqref="O24:O43">
    <cfRule type="expression" dxfId="15" priority="4">
      <formula>OR(NOT(ISERROR(SEARCH("COMPLETE",O24))),NOT(ISERROR(SEARCH("RELEASED",O24))))</formula>
    </cfRule>
  </conditionalFormatting>
  <conditionalFormatting sqref="O24:Q43">
    <cfRule type="expression" dxfId="14" priority="3">
      <formula>NOT(ISERROR(SEARCH("ECO",O24)))</formula>
    </cfRule>
  </conditionalFormatting>
  <conditionalFormatting sqref="F24:F43">
    <cfRule type="expression" dxfId="13" priority="1">
      <formula>AND($F24&gt;0,DATEVALUE(RIGHT($F24,2)&amp;"-"&amp;MID($F24,6,3)&amp;"-"&amp;LEFT($F24,4))&lt;TODAY())</formula>
    </cfRule>
    <cfRule type="expression" dxfId="12" priority="2">
      <formula>AND($F24&gt;0,DATEVALUE(RIGHT($F24,2)&amp;"-"&amp;MID($F24,6,3)&amp;"-"&amp;LEFT($F24+$A$28,4))&lt;TODAY()+7)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UpdateCurrent">
                <anchor moveWithCells="1">
                  <from>
                    <xdr:col>37</xdr:col>
                    <xdr:colOff>297180</xdr:colOff>
                    <xdr:row>0</xdr:row>
                    <xdr:rowOff>0</xdr:rowOff>
                  </from>
                  <to>
                    <xdr:col>38</xdr:col>
                    <xdr:colOff>601980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60FE6-6EB3-45A1-A89C-0B94B1D07B75}">
  <sheetPr codeName="Sheet7"/>
  <dimension ref="A1:AM50"/>
  <sheetViews>
    <sheetView showGridLines="0" zoomScaleNormal="100" workbookViewId="0">
      <selection activeCell="AH17" sqref="AH17"/>
    </sheetView>
  </sheetViews>
  <sheetFormatPr defaultRowHeight="14.4" x14ac:dyDescent="0.3"/>
  <cols>
    <col min="1" max="1" width="0.44140625" customWidth="1"/>
    <col min="2" max="2" width="15.88671875" customWidth="1"/>
    <col min="3" max="3" width="15.33203125" customWidth="1"/>
    <col min="4" max="4" width="0.6640625" customWidth="1"/>
    <col min="5" max="5" width="12.88671875" customWidth="1"/>
    <col min="6" max="6" width="16" customWidth="1"/>
    <col min="7" max="7" width="0.5546875" customWidth="1"/>
    <col min="8" max="8" width="12.88671875" customWidth="1"/>
    <col min="9" max="9" width="0.5546875" customWidth="1"/>
    <col min="10" max="23" width="6.5546875" customWidth="1"/>
    <col min="24" max="24" width="0.6640625" customWidth="1"/>
    <col min="25" max="25" width="13.6640625" customWidth="1"/>
    <col min="26" max="26" width="9.44140625" customWidth="1"/>
    <col min="27" max="27" width="0.5546875" customWidth="1"/>
    <col min="28" max="28" width="12.5546875" customWidth="1"/>
    <col min="29" max="30" width="11.44140625" customWidth="1"/>
    <col min="31" max="31" width="0.88671875" customWidth="1"/>
    <col min="32" max="32" width="12.88671875" customWidth="1"/>
    <col min="35" max="35" width="12.5546875" style="64" customWidth="1"/>
    <col min="36" max="37" width="9.109375" style="65"/>
  </cols>
  <sheetData>
    <row r="1" spans="1:39" ht="2.25" customHeight="1" thickBot="1" x14ac:dyDescent="0.35">
      <c r="A1" s="31" t="s">
        <v>130</v>
      </c>
      <c r="B1" s="15"/>
      <c r="C1" s="106"/>
      <c r="D1" s="54"/>
      <c r="E1" s="2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63" t="s">
        <v>115</v>
      </c>
      <c r="AJ1" s="10" t="s">
        <v>30</v>
      </c>
      <c r="AK1" s="10" t="s">
        <v>29</v>
      </c>
      <c r="AL1" s="54"/>
      <c r="AM1" s="54"/>
    </row>
    <row r="2" spans="1:39" ht="15.75" customHeight="1" thickBot="1" x14ac:dyDescent="0.35">
      <c r="A2" s="106"/>
      <c r="B2" s="107" t="s">
        <v>1</v>
      </c>
      <c r="C2" s="72" t="s">
        <v>271</v>
      </c>
      <c r="D2" s="54"/>
      <c r="E2" s="99" t="s">
        <v>92</v>
      </c>
      <c r="F2" s="62">
        <v>44323</v>
      </c>
      <c r="G2" s="1"/>
      <c r="H2" s="163" t="s">
        <v>8</v>
      </c>
      <c r="I2" s="1"/>
      <c r="J2" s="164" t="s">
        <v>9</v>
      </c>
      <c r="K2" s="164"/>
      <c r="L2" s="164"/>
      <c r="M2" s="164"/>
      <c r="N2" s="164"/>
      <c r="O2" s="164"/>
      <c r="P2" s="164"/>
      <c r="Q2" s="164"/>
      <c r="R2" s="165" t="s">
        <v>10</v>
      </c>
      <c r="S2" s="165"/>
      <c r="T2" s="165"/>
      <c r="U2" s="165"/>
      <c r="V2" s="165"/>
      <c r="W2" s="166"/>
      <c r="X2" s="54"/>
      <c r="Y2" s="167"/>
      <c r="Z2" s="167"/>
      <c r="AA2" s="167"/>
      <c r="AB2" s="167"/>
      <c r="AC2" s="167"/>
      <c r="AD2" s="167"/>
      <c r="AE2" s="167"/>
      <c r="AF2" s="168"/>
      <c r="AG2" s="54"/>
      <c r="AH2" s="54"/>
      <c r="AI2" s="63">
        <v>44313</v>
      </c>
      <c r="AJ2" s="10">
        <v>0.33</v>
      </c>
      <c r="AK2" s="10"/>
      <c r="AL2" s="54"/>
      <c r="AM2" s="54"/>
    </row>
    <row r="3" spans="1:39" ht="15" customHeight="1" thickBot="1" x14ac:dyDescent="0.35">
      <c r="A3" s="106"/>
      <c r="B3" s="33" t="s">
        <v>11</v>
      </c>
      <c r="C3" s="73" t="s">
        <v>272</v>
      </c>
      <c r="D3" s="54"/>
      <c r="E3" s="33" t="s">
        <v>93</v>
      </c>
      <c r="F3" s="85">
        <v>0.4</v>
      </c>
      <c r="G3" s="1"/>
      <c r="H3" s="163"/>
      <c r="I3" s="1"/>
      <c r="J3" s="171" t="s">
        <v>12</v>
      </c>
      <c r="K3" s="171"/>
      <c r="L3" s="171" t="s">
        <v>13</v>
      </c>
      <c r="M3" s="171"/>
      <c r="N3" s="171" t="s">
        <v>14</v>
      </c>
      <c r="O3" s="172"/>
      <c r="P3" s="171" t="s">
        <v>6</v>
      </c>
      <c r="Q3" s="171"/>
      <c r="R3" s="171" t="s">
        <v>12</v>
      </c>
      <c r="S3" s="171"/>
      <c r="T3" s="171" t="s">
        <v>13</v>
      </c>
      <c r="U3" s="172"/>
      <c r="V3" s="171" t="s">
        <v>6</v>
      </c>
      <c r="W3" s="173"/>
      <c r="X3" s="54"/>
      <c r="Y3" s="167"/>
      <c r="Z3" s="167"/>
      <c r="AA3" s="167"/>
      <c r="AB3" s="167"/>
      <c r="AC3" s="167"/>
      <c r="AD3" s="167"/>
      <c r="AE3" s="167"/>
      <c r="AF3" s="168"/>
      <c r="AG3" s="54"/>
      <c r="AH3" s="54"/>
      <c r="AI3" s="63"/>
      <c r="AJ3" s="10"/>
      <c r="AK3" s="10"/>
      <c r="AL3" s="54"/>
      <c r="AM3" s="54"/>
    </row>
    <row r="4" spans="1:39" ht="15" customHeight="1" thickBot="1" x14ac:dyDescent="0.35">
      <c r="A4" s="106"/>
      <c r="B4" s="34" t="s">
        <v>15</v>
      </c>
      <c r="C4" s="74">
        <v>456103</v>
      </c>
      <c r="D4" s="54"/>
      <c r="E4" s="33" t="s">
        <v>116</v>
      </c>
      <c r="F4" s="86">
        <v>0</v>
      </c>
      <c r="G4" s="1"/>
      <c r="H4" s="174" t="str">
        <f>IF(VALUE(LEFT(F10,FIND("(",F10)-1))/VALUE(LEFT(F13,FIND("(",F13)-1))&gt;1.2,"↑",IF(VALUE(LEFT(F10,FIND("(",F10)-1))/VALUE(LEFT(F13,FIND("(",F13)-1))&lt;0.8,"↓","🗘"))</f>
        <v>↓</v>
      </c>
      <c r="I4" s="1"/>
      <c r="J4" s="3" t="s">
        <v>16</v>
      </c>
      <c r="K4" s="4" t="s">
        <v>17</v>
      </c>
      <c r="L4" s="3" t="s">
        <v>16</v>
      </c>
      <c r="M4" s="5" t="s">
        <v>17</v>
      </c>
      <c r="N4" s="3" t="s">
        <v>16</v>
      </c>
      <c r="O4" s="4" t="s">
        <v>17</v>
      </c>
      <c r="P4" s="3" t="s">
        <v>16</v>
      </c>
      <c r="Q4" s="5" t="s">
        <v>17</v>
      </c>
      <c r="R4" s="6" t="s">
        <v>16</v>
      </c>
      <c r="S4" s="4" t="s">
        <v>17</v>
      </c>
      <c r="T4" s="7" t="s">
        <v>16</v>
      </c>
      <c r="U4" s="5" t="s">
        <v>17</v>
      </c>
      <c r="V4" s="6" t="s">
        <v>16</v>
      </c>
      <c r="W4" s="4" t="s">
        <v>17</v>
      </c>
      <c r="X4" s="54"/>
      <c r="Y4" s="167"/>
      <c r="Z4" s="167"/>
      <c r="AA4" s="167"/>
      <c r="AB4" s="167"/>
      <c r="AC4" s="167"/>
      <c r="AD4" s="167"/>
      <c r="AE4" s="167"/>
      <c r="AF4" s="168"/>
      <c r="AG4" s="54"/>
      <c r="AI4" s="63"/>
      <c r="AJ4" s="10"/>
      <c r="AK4" s="10"/>
      <c r="AL4" s="54"/>
      <c r="AM4" s="54"/>
    </row>
    <row r="5" spans="1:39" ht="15.75" customHeight="1" thickBot="1" x14ac:dyDescent="0.35">
      <c r="A5" s="106"/>
      <c r="B5" s="35" t="s">
        <v>19</v>
      </c>
      <c r="C5" s="75" t="s">
        <v>273</v>
      </c>
      <c r="D5" s="54"/>
      <c r="E5" s="35" t="s">
        <v>91</v>
      </c>
      <c r="F5" s="87">
        <v>0</v>
      </c>
      <c r="G5" s="1"/>
      <c r="H5" s="175"/>
      <c r="I5" s="1"/>
      <c r="J5" s="38">
        <v>0</v>
      </c>
      <c r="K5" s="39">
        <v>6</v>
      </c>
      <c r="L5" s="40">
        <v>0</v>
      </c>
      <c r="M5" s="41">
        <v>5</v>
      </c>
      <c r="N5" s="40">
        <v>0</v>
      </c>
      <c r="O5" s="42">
        <v>0</v>
      </c>
      <c r="P5" s="38">
        <v>0</v>
      </c>
      <c r="Q5" s="43">
        <v>5</v>
      </c>
      <c r="R5" s="44">
        <v>0</v>
      </c>
      <c r="S5" s="45">
        <v>20</v>
      </c>
      <c r="T5" s="46">
        <v>0</v>
      </c>
      <c r="U5" s="47">
        <v>5</v>
      </c>
      <c r="V5" s="44">
        <v>0</v>
      </c>
      <c r="W5" s="45">
        <v>8</v>
      </c>
      <c r="X5" s="54"/>
      <c r="Y5" s="167"/>
      <c r="Z5" s="167"/>
      <c r="AA5" s="167"/>
      <c r="AB5" s="167"/>
      <c r="AC5" s="167"/>
      <c r="AD5" s="167"/>
      <c r="AE5" s="167"/>
      <c r="AF5" s="168"/>
      <c r="AG5" s="54"/>
      <c r="AH5" s="54"/>
      <c r="AI5" s="63"/>
      <c r="AJ5" s="10"/>
      <c r="AK5" s="10"/>
      <c r="AL5" s="54"/>
      <c r="AM5" s="54"/>
    </row>
    <row r="6" spans="1:39" ht="3.75" customHeight="1" thickBot="1" x14ac:dyDescent="0.35">
      <c r="A6" s="106"/>
      <c r="B6" s="15"/>
      <c r="C6" s="76"/>
      <c r="D6" s="8"/>
      <c r="E6" s="2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167"/>
      <c r="Z6" s="167"/>
      <c r="AA6" s="167"/>
      <c r="AB6" s="167"/>
      <c r="AC6" s="167"/>
      <c r="AD6" s="167"/>
      <c r="AE6" s="167"/>
      <c r="AF6" s="168"/>
      <c r="AG6" s="54"/>
      <c r="AH6" s="54"/>
      <c r="AI6" s="63"/>
      <c r="AJ6" s="10"/>
      <c r="AK6" s="10"/>
      <c r="AL6" s="54"/>
      <c r="AM6" s="54"/>
    </row>
    <row r="7" spans="1:39" ht="15.75" customHeight="1" thickBot="1" x14ac:dyDescent="0.35">
      <c r="A7" s="106"/>
      <c r="B7" s="104" t="s">
        <v>22</v>
      </c>
      <c r="C7" s="77">
        <v>65000</v>
      </c>
      <c r="D7" s="9"/>
      <c r="E7" s="186" t="s">
        <v>23</v>
      </c>
      <c r="F7" s="187" t="s">
        <v>24</v>
      </c>
      <c r="G7" s="188" t="s">
        <v>0</v>
      </c>
      <c r="H7" s="188"/>
      <c r="I7" s="188"/>
      <c r="J7" s="189" t="s">
        <v>9</v>
      </c>
      <c r="K7" s="189"/>
      <c r="L7" s="189"/>
      <c r="M7" s="189"/>
      <c r="N7" s="189"/>
      <c r="O7" s="189"/>
      <c r="P7" s="189"/>
      <c r="Q7" s="189"/>
      <c r="R7" s="165" t="s">
        <v>10</v>
      </c>
      <c r="S7" s="190"/>
      <c r="T7" s="190"/>
      <c r="U7" s="190"/>
      <c r="V7" s="190"/>
      <c r="W7" s="191"/>
      <c r="X7" s="54"/>
      <c r="Y7" s="167"/>
      <c r="Z7" s="167"/>
      <c r="AA7" s="167"/>
      <c r="AB7" s="167"/>
      <c r="AC7" s="167"/>
      <c r="AD7" s="167"/>
      <c r="AE7" s="167"/>
      <c r="AF7" s="168"/>
      <c r="AG7" s="54"/>
      <c r="AH7" s="54"/>
      <c r="AI7" s="63"/>
      <c r="AJ7" s="10"/>
      <c r="AK7" s="10"/>
      <c r="AL7" s="54"/>
      <c r="AM7" s="54"/>
    </row>
    <row r="8" spans="1:39" ht="15.75" customHeight="1" thickBot="1" x14ac:dyDescent="0.35">
      <c r="A8" s="106"/>
      <c r="B8" s="36" t="s">
        <v>25</v>
      </c>
      <c r="C8" s="78" t="s">
        <v>274</v>
      </c>
      <c r="D8" s="9"/>
      <c r="E8" s="186"/>
      <c r="F8" s="187"/>
      <c r="G8" s="188"/>
      <c r="H8" s="188"/>
      <c r="I8" s="188"/>
      <c r="J8" s="192" t="s">
        <v>12</v>
      </c>
      <c r="K8" s="192"/>
      <c r="L8" s="192" t="s">
        <v>13</v>
      </c>
      <c r="M8" s="171"/>
      <c r="N8" s="192" t="s">
        <v>14</v>
      </c>
      <c r="O8" s="172"/>
      <c r="P8" s="192" t="s">
        <v>6</v>
      </c>
      <c r="Q8" s="171"/>
      <c r="R8" s="192" t="s">
        <v>12</v>
      </c>
      <c r="S8" s="173"/>
      <c r="T8" s="192" t="s">
        <v>13</v>
      </c>
      <c r="U8" s="173"/>
      <c r="V8" s="192" t="s">
        <v>6</v>
      </c>
      <c r="W8" s="172"/>
      <c r="X8" s="54"/>
      <c r="Y8" s="167"/>
      <c r="Z8" s="167"/>
      <c r="AA8" s="167"/>
      <c r="AB8" s="167"/>
      <c r="AC8" s="167"/>
      <c r="AD8" s="167"/>
      <c r="AE8" s="167"/>
      <c r="AF8" s="168"/>
      <c r="AG8" s="54"/>
      <c r="AH8" s="54"/>
      <c r="AI8" s="63"/>
      <c r="AJ8" s="10"/>
      <c r="AK8" s="10"/>
      <c r="AL8" s="54"/>
      <c r="AM8" s="54"/>
    </row>
    <row r="9" spans="1:39" ht="15.75" customHeight="1" thickBot="1" x14ac:dyDescent="0.35">
      <c r="A9" s="106"/>
      <c r="B9" s="36" t="s">
        <v>28</v>
      </c>
      <c r="C9" s="78" t="s">
        <v>83</v>
      </c>
      <c r="D9" s="9"/>
      <c r="E9" s="51" t="s">
        <v>29</v>
      </c>
      <c r="F9" s="48" t="s">
        <v>279</v>
      </c>
      <c r="G9" s="176"/>
      <c r="H9" s="176"/>
      <c r="I9" s="176"/>
      <c r="J9" s="177">
        <v>10</v>
      </c>
      <c r="K9" s="177"/>
      <c r="L9" s="177">
        <v>5</v>
      </c>
      <c r="M9" s="178"/>
      <c r="N9" s="177">
        <v>2</v>
      </c>
      <c r="O9" s="179"/>
      <c r="P9" s="177">
        <v>5</v>
      </c>
      <c r="Q9" s="178"/>
      <c r="R9" s="177">
        <v>20</v>
      </c>
      <c r="S9" s="179"/>
      <c r="T9" s="177">
        <v>20</v>
      </c>
      <c r="U9" s="180"/>
      <c r="V9" s="177">
        <v>8</v>
      </c>
      <c r="W9" s="179"/>
      <c r="X9" s="54"/>
      <c r="Y9" s="167"/>
      <c r="Z9" s="167"/>
      <c r="AA9" s="167"/>
      <c r="AB9" s="167"/>
      <c r="AC9" s="167"/>
      <c r="AD9" s="167"/>
      <c r="AE9" s="167"/>
      <c r="AF9" s="168"/>
      <c r="AG9" s="54"/>
      <c r="AH9" s="54"/>
      <c r="AI9" s="63"/>
      <c r="AJ9" s="10"/>
      <c r="AK9" s="10"/>
      <c r="AL9" s="54"/>
      <c r="AM9" s="54"/>
    </row>
    <row r="10" spans="1:39" ht="15.75" customHeight="1" thickBot="1" x14ac:dyDescent="0.35">
      <c r="A10" s="106"/>
      <c r="B10" s="36" t="s">
        <v>7</v>
      </c>
      <c r="C10" s="78" t="s">
        <v>82</v>
      </c>
      <c r="D10" s="9"/>
      <c r="E10" s="51" t="s">
        <v>86</v>
      </c>
      <c r="F10" s="49" t="s">
        <v>280</v>
      </c>
      <c r="G10" s="181">
        <v>38087</v>
      </c>
      <c r="H10" s="181"/>
      <c r="I10" s="181"/>
      <c r="J10" s="182">
        <f>SUM(J5:K5)</f>
        <v>6</v>
      </c>
      <c r="K10" s="182"/>
      <c r="L10" s="183">
        <f>SUM(L5:M5)</f>
        <v>5</v>
      </c>
      <c r="M10" s="184"/>
      <c r="N10" s="183">
        <f>SUM(N5:O5)</f>
        <v>0</v>
      </c>
      <c r="O10" s="185"/>
      <c r="P10" s="182">
        <f>SUM(P5:Q5)</f>
        <v>5</v>
      </c>
      <c r="Q10" s="193"/>
      <c r="R10" s="182">
        <f>SUM(R5:S5)</f>
        <v>20</v>
      </c>
      <c r="S10" s="194"/>
      <c r="T10" s="182">
        <f>SUM(T5:U5)</f>
        <v>5</v>
      </c>
      <c r="U10" s="195"/>
      <c r="V10" s="182">
        <f>SUM(V5:W5)</f>
        <v>8</v>
      </c>
      <c r="W10" s="194"/>
      <c r="X10" s="54"/>
      <c r="Y10" s="167"/>
      <c r="Z10" s="167"/>
      <c r="AA10" s="167"/>
      <c r="AB10" s="167"/>
      <c r="AC10" s="167"/>
      <c r="AD10" s="167"/>
      <c r="AE10" s="167"/>
      <c r="AF10" s="168"/>
      <c r="AG10" s="54"/>
      <c r="AH10" s="54"/>
      <c r="AI10" s="63"/>
      <c r="AJ10" s="10"/>
      <c r="AK10" s="10"/>
      <c r="AL10" s="54"/>
      <c r="AM10" s="54"/>
    </row>
    <row r="11" spans="1:39" ht="15.75" customHeight="1" thickBot="1" x14ac:dyDescent="0.35">
      <c r="A11" s="106"/>
      <c r="B11" s="37" t="s">
        <v>32</v>
      </c>
      <c r="C11" s="79">
        <v>44300</v>
      </c>
      <c r="D11" s="9"/>
      <c r="E11" s="52" t="s">
        <v>84</v>
      </c>
      <c r="F11" s="88">
        <f>VALUE(LEFT(F9,FIND("(",F9)-1))-VALUE(LEFT(F10,FIND("(",F10)-1))</f>
        <v>5540</v>
      </c>
      <c r="G11" s="196">
        <f>G9-G10</f>
        <v>-38087</v>
      </c>
      <c r="H11" s="196"/>
      <c r="I11" s="196"/>
      <c r="J11" s="197">
        <f>J9-J10</f>
        <v>4</v>
      </c>
      <c r="K11" s="197"/>
      <c r="L11" s="198">
        <f>L9-L10</f>
        <v>0</v>
      </c>
      <c r="M11" s="199"/>
      <c r="N11" s="200">
        <f>N9-N10</f>
        <v>2</v>
      </c>
      <c r="O11" s="201"/>
      <c r="P11" s="197">
        <f>P9-P10</f>
        <v>0</v>
      </c>
      <c r="Q11" s="202"/>
      <c r="R11" s="200">
        <f>R9-R10</f>
        <v>0</v>
      </c>
      <c r="S11" s="201"/>
      <c r="T11" s="200">
        <f>T9-T10</f>
        <v>15</v>
      </c>
      <c r="U11" s="203"/>
      <c r="V11" s="200">
        <f>V9-V10</f>
        <v>0</v>
      </c>
      <c r="W11" s="201"/>
      <c r="X11" s="54"/>
      <c r="Y11" s="169"/>
      <c r="Z11" s="169"/>
      <c r="AA11" s="169"/>
      <c r="AB11" s="169"/>
      <c r="AC11" s="169"/>
      <c r="AD11" s="169"/>
      <c r="AE11" s="169"/>
      <c r="AF11" s="170"/>
      <c r="AG11" s="54"/>
      <c r="AH11" s="54"/>
      <c r="AI11" s="63"/>
      <c r="AJ11" s="10"/>
      <c r="AK11" s="10"/>
      <c r="AL11" s="54"/>
      <c r="AM11" s="54"/>
    </row>
    <row r="12" spans="1:39" ht="3" customHeight="1" thickBot="1" x14ac:dyDescent="0.35">
      <c r="A12" s="106"/>
      <c r="B12" s="15"/>
      <c r="C12" s="80"/>
      <c r="D12" s="54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63"/>
      <c r="AJ12" s="10"/>
      <c r="AK12" s="10"/>
      <c r="AL12" s="54"/>
      <c r="AM12" s="54"/>
    </row>
    <row r="13" spans="1:39" ht="15.75" customHeight="1" thickBot="1" x14ac:dyDescent="0.35">
      <c r="A13" s="106"/>
      <c r="B13" s="104" t="s">
        <v>33</v>
      </c>
      <c r="C13" s="81" t="s">
        <v>34</v>
      </c>
      <c r="D13" s="54"/>
      <c r="E13" s="109" t="s">
        <v>35</v>
      </c>
      <c r="F13" s="50" t="s">
        <v>87</v>
      </c>
      <c r="G13" s="232"/>
      <c r="H13" s="232"/>
      <c r="I13" s="232"/>
      <c r="J13" s="223">
        <v>0</v>
      </c>
      <c r="K13" s="223"/>
      <c r="L13" s="233">
        <v>0</v>
      </c>
      <c r="M13" s="233"/>
      <c r="N13" s="223">
        <v>0</v>
      </c>
      <c r="O13" s="224"/>
      <c r="P13" s="223">
        <v>0</v>
      </c>
      <c r="Q13" s="233"/>
      <c r="R13" s="223">
        <v>0</v>
      </c>
      <c r="S13" s="224"/>
      <c r="T13" s="221">
        <v>0</v>
      </c>
      <c r="U13" s="222"/>
      <c r="V13" s="223">
        <v>0</v>
      </c>
      <c r="W13" s="224"/>
      <c r="X13" s="54"/>
      <c r="Y13" s="309" t="s">
        <v>117</v>
      </c>
      <c r="Z13" s="308"/>
      <c r="AA13" s="306" t="s">
        <v>118</v>
      </c>
      <c r="AB13" s="307"/>
      <c r="AC13" s="308"/>
      <c r="AD13" s="307" t="s">
        <v>119</v>
      </c>
      <c r="AE13" s="307"/>
      <c r="AF13" s="310"/>
      <c r="AG13" s="54"/>
      <c r="AH13" s="54"/>
      <c r="AI13" s="63"/>
      <c r="AJ13" s="10"/>
      <c r="AK13" s="10"/>
      <c r="AL13" s="54"/>
      <c r="AM13" s="54"/>
    </row>
    <row r="14" spans="1:39" ht="15.75" customHeight="1" thickBot="1" x14ac:dyDescent="0.35">
      <c r="A14" s="106"/>
      <c r="B14" s="36" t="s">
        <v>37</v>
      </c>
      <c r="C14" s="103" t="s">
        <v>275</v>
      </c>
      <c r="D14" s="54"/>
      <c r="E14" s="2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319" t="s">
        <v>278</v>
      </c>
      <c r="Z14" s="316"/>
      <c r="AA14" s="315"/>
      <c r="AB14" s="311"/>
      <c r="AC14" s="316"/>
      <c r="AD14" s="311"/>
      <c r="AE14" s="311"/>
      <c r="AF14" s="312"/>
      <c r="AG14" s="54"/>
      <c r="AH14" s="54"/>
      <c r="AI14" s="63"/>
      <c r="AJ14" s="10"/>
      <c r="AK14" s="10"/>
      <c r="AL14" s="54"/>
      <c r="AM14" s="54"/>
    </row>
    <row r="15" spans="1:39" ht="15" customHeight="1" x14ac:dyDescent="0.3">
      <c r="A15" s="106"/>
      <c r="B15" s="36" t="s">
        <v>38</v>
      </c>
      <c r="C15" s="103" t="s">
        <v>276</v>
      </c>
      <c r="D15" s="10"/>
      <c r="E15" s="107" t="s">
        <v>39</v>
      </c>
      <c r="F15" s="225" t="s">
        <v>40</v>
      </c>
      <c r="G15" s="226"/>
      <c r="H15" s="227"/>
      <c r="I15" s="54"/>
      <c r="J15" s="228" t="s">
        <v>41</v>
      </c>
      <c r="K15" s="229"/>
      <c r="L15" s="229"/>
      <c r="M15" s="229"/>
      <c r="N15" s="229"/>
      <c r="O15" s="229"/>
      <c r="P15" s="229"/>
      <c r="Q15" s="229"/>
      <c r="R15" s="229"/>
      <c r="S15" s="230" t="s">
        <v>42</v>
      </c>
      <c r="T15" s="230"/>
      <c r="U15" s="230"/>
      <c r="V15" s="230"/>
      <c r="W15" s="231"/>
      <c r="X15" s="54"/>
      <c r="Y15" s="319"/>
      <c r="Z15" s="316"/>
      <c r="AA15" s="315"/>
      <c r="AB15" s="311"/>
      <c r="AC15" s="316"/>
      <c r="AD15" s="311"/>
      <c r="AE15" s="311"/>
      <c r="AF15" s="312"/>
      <c r="AG15" s="63"/>
      <c r="AH15" s="54"/>
      <c r="AI15" s="63"/>
      <c r="AJ15" s="10"/>
      <c r="AK15" s="10"/>
      <c r="AL15" s="54"/>
      <c r="AM15" s="54"/>
    </row>
    <row r="16" spans="1:39" ht="15" customHeight="1" x14ac:dyDescent="0.3">
      <c r="A16" s="106"/>
      <c r="B16" s="36" t="s">
        <v>43</v>
      </c>
      <c r="C16" s="103" t="s">
        <v>248</v>
      </c>
      <c r="D16" s="10"/>
      <c r="E16" s="204">
        <v>0</v>
      </c>
      <c r="F16" s="207"/>
      <c r="G16" s="208"/>
      <c r="H16" s="209"/>
      <c r="I16" s="54"/>
      <c r="J16" s="18">
        <v>1</v>
      </c>
      <c r="K16" s="22">
        <v>0.2</v>
      </c>
      <c r="L16" s="216" t="s">
        <v>44</v>
      </c>
      <c r="M16" s="216"/>
      <c r="N16" s="216"/>
      <c r="O16" s="216"/>
      <c r="P16" s="216"/>
      <c r="Q16" s="216"/>
      <c r="R16" s="216"/>
      <c r="S16" s="217" t="s">
        <v>82</v>
      </c>
      <c r="T16" s="217"/>
      <c r="U16" s="217"/>
      <c r="V16" s="217"/>
      <c r="W16" s="218"/>
      <c r="X16" s="54"/>
      <c r="Y16" s="319"/>
      <c r="Z16" s="316"/>
      <c r="AA16" s="315"/>
      <c r="AB16" s="311"/>
      <c r="AC16" s="316"/>
      <c r="AD16" s="311"/>
      <c r="AE16" s="311"/>
      <c r="AF16" s="312"/>
      <c r="AG16" s="54"/>
      <c r="AH16" s="54"/>
      <c r="AI16" s="63"/>
      <c r="AJ16" s="10"/>
      <c r="AK16" s="10"/>
      <c r="AL16" s="54"/>
      <c r="AM16" s="54"/>
    </row>
    <row r="17" spans="1:39" ht="15" customHeight="1" x14ac:dyDescent="0.3">
      <c r="A17" s="106"/>
      <c r="B17" s="36" t="s">
        <v>45</v>
      </c>
      <c r="C17" s="103" t="s">
        <v>248</v>
      </c>
      <c r="D17" s="10"/>
      <c r="E17" s="205"/>
      <c r="F17" s="210"/>
      <c r="G17" s="211"/>
      <c r="H17" s="212"/>
      <c r="I17" s="54"/>
      <c r="J17" s="18">
        <v>2</v>
      </c>
      <c r="K17" s="22">
        <v>0.3</v>
      </c>
      <c r="L17" s="216" t="s">
        <v>46</v>
      </c>
      <c r="M17" s="216"/>
      <c r="N17" s="216"/>
      <c r="O17" s="216"/>
      <c r="P17" s="216"/>
      <c r="Q17" s="216"/>
      <c r="R17" s="216"/>
      <c r="S17" s="219" t="s">
        <v>82</v>
      </c>
      <c r="T17" s="219"/>
      <c r="U17" s="219"/>
      <c r="V17" s="219"/>
      <c r="W17" s="220"/>
      <c r="X17" s="54"/>
      <c r="Y17" s="319"/>
      <c r="Z17" s="316"/>
      <c r="AA17" s="315"/>
      <c r="AB17" s="311"/>
      <c r="AC17" s="316"/>
      <c r="AD17" s="311"/>
      <c r="AE17" s="311"/>
      <c r="AF17" s="312"/>
      <c r="AG17" s="54"/>
      <c r="AH17" s="54"/>
      <c r="AI17" s="63"/>
      <c r="AJ17" s="10"/>
      <c r="AK17" s="10"/>
      <c r="AL17" s="54"/>
      <c r="AM17" s="54"/>
    </row>
    <row r="18" spans="1:39" ht="15.75" customHeight="1" thickBot="1" x14ac:dyDescent="0.35">
      <c r="A18" s="106"/>
      <c r="B18" s="37" t="s">
        <v>47</v>
      </c>
      <c r="C18" s="105" t="s">
        <v>277</v>
      </c>
      <c r="D18" s="10"/>
      <c r="E18" s="206"/>
      <c r="F18" s="213"/>
      <c r="G18" s="214"/>
      <c r="H18" s="215"/>
      <c r="I18" s="54"/>
      <c r="J18" s="18">
        <v>3</v>
      </c>
      <c r="K18" s="22">
        <v>0.2</v>
      </c>
      <c r="L18" s="216" t="s">
        <v>48</v>
      </c>
      <c r="M18" s="216"/>
      <c r="N18" s="216"/>
      <c r="O18" s="216"/>
      <c r="P18" s="216"/>
      <c r="Q18" s="216"/>
      <c r="R18" s="216"/>
      <c r="S18" s="219" t="s">
        <v>82</v>
      </c>
      <c r="T18" s="219"/>
      <c r="U18" s="219"/>
      <c r="V18" s="219"/>
      <c r="W18" s="220"/>
      <c r="X18" s="54"/>
      <c r="Y18" s="319"/>
      <c r="Z18" s="316"/>
      <c r="AA18" s="315"/>
      <c r="AB18" s="311"/>
      <c r="AC18" s="316"/>
      <c r="AD18" s="311"/>
      <c r="AE18" s="311"/>
      <c r="AF18" s="312"/>
      <c r="AG18" s="54"/>
      <c r="AH18" s="54"/>
      <c r="AI18" s="63"/>
      <c r="AJ18" s="10"/>
      <c r="AK18" s="10"/>
      <c r="AL18" s="54"/>
      <c r="AM18" s="54"/>
    </row>
    <row r="19" spans="1:39" ht="2.25" customHeight="1" thickBot="1" x14ac:dyDescent="0.35">
      <c r="A19" s="106"/>
      <c r="B19" s="16"/>
      <c r="C19" s="59"/>
      <c r="D19" s="10"/>
      <c r="E19" s="11"/>
      <c r="F19" s="17"/>
      <c r="G19" s="17"/>
      <c r="H19" s="17"/>
      <c r="I19" s="54"/>
      <c r="J19" s="266">
        <v>4</v>
      </c>
      <c r="K19" s="268">
        <v>0.1</v>
      </c>
      <c r="L19" s="270" t="s">
        <v>49</v>
      </c>
      <c r="M19" s="271"/>
      <c r="N19" s="271"/>
      <c r="O19" s="271"/>
      <c r="P19" s="271"/>
      <c r="Q19" s="271"/>
      <c r="R19" s="272"/>
      <c r="S19" s="276" t="s">
        <v>82</v>
      </c>
      <c r="T19" s="277"/>
      <c r="U19" s="277"/>
      <c r="V19" s="277"/>
      <c r="W19" s="278"/>
      <c r="X19" s="54"/>
      <c r="Y19" s="319"/>
      <c r="Z19" s="316"/>
      <c r="AA19" s="315"/>
      <c r="AB19" s="311"/>
      <c r="AC19" s="316"/>
      <c r="AD19" s="311"/>
      <c r="AE19" s="311"/>
      <c r="AF19" s="312"/>
      <c r="AG19" s="54"/>
      <c r="AH19" s="54"/>
      <c r="AI19" s="63"/>
      <c r="AJ19" s="10"/>
      <c r="AK19" s="10"/>
      <c r="AL19" s="54"/>
      <c r="AM19" s="54"/>
    </row>
    <row r="20" spans="1:39" ht="15" customHeight="1" x14ac:dyDescent="0.3">
      <c r="A20" s="54"/>
      <c r="B20" s="249"/>
      <c r="C20" s="250"/>
      <c r="D20" s="250"/>
      <c r="E20" s="250"/>
      <c r="F20" s="250"/>
      <c r="G20" s="250"/>
      <c r="H20" s="251"/>
      <c r="I20" s="54"/>
      <c r="J20" s="267"/>
      <c r="K20" s="269"/>
      <c r="L20" s="273"/>
      <c r="M20" s="274"/>
      <c r="N20" s="274"/>
      <c r="O20" s="274"/>
      <c r="P20" s="274"/>
      <c r="Q20" s="274"/>
      <c r="R20" s="275"/>
      <c r="S20" s="279"/>
      <c r="T20" s="280"/>
      <c r="U20" s="280"/>
      <c r="V20" s="280"/>
      <c r="W20" s="281"/>
      <c r="X20" s="54"/>
      <c r="Y20" s="319"/>
      <c r="Z20" s="316"/>
      <c r="AA20" s="315"/>
      <c r="AB20" s="311"/>
      <c r="AC20" s="316"/>
      <c r="AD20" s="311"/>
      <c r="AE20" s="311"/>
      <c r="AF20" s="312"/>
      <c r="AG20" s="54"/>
      <c r="AH20" s="54"/>
      <c r="AI20" s="63"/>
      <c r="AJ20" s="10"/>
      <c r="AK20" s="10"/>
      <c r="AL20" s="54"/>
      <c r="AM20" s="54"/>
    </row>
    <row r="21" spans="1:39" ht="15.75" customHeight="1" thickBot="1" x14ac:dyDescent="0.35">
      <c r="A21" s="54"/>
      <c r="B21" s="252"/>
      <c r="C21" s="253"/>
      <c r="D21" s="253"/>
      <c r="E21" s="253"/>
      <c r="F21" s="253"/>
      <c r="G21" s="253"/>
      <c r="H21" s="254"/>
      <c r="I21" s="54"/>
      <c r="J21" s="19">
        <v>5</v>
      </c>
      <c r="K21" s="23">
        <v>0.2</v>
      </c>
      <c r="L21" s="255" t="s">
        <v>50</v>
      </c>
      <c r="M21" s="255"/>
      <c r="N21" s="255"/>
      <c r="O21" s="255"/>
      <c r="P21" s="255"/>
      <c r="Q21" s="255"/>
      <c r="R21" s="255"/>
      <c r="S21" s="256" t="s">
        <v>82</v>
      </c>
      <c r="T21" s="256"/>
      <c r="U21" s="256"/>
      <c r="V21" s="256"/>
      <c r="W21" s="257"/>
      <c r="X21" s="54"/>
      <c r="Y21" s="320"/>
      <c r="Z21" s="318"/>
      <c r="AA21" s="317"/>
      <c r="AB21" s="313"/>
      <c r="AC21" s="318"/>
      <c r="AD21" s="313"/>
      <c r="AE21" s="313"/>
      <c r="AF21" s="314"/>
      <c r="AG21" s="54"/>
      <c r="AH21" s="54"/>
      <c r="AI21" s="63"/>
      <c r="AJ21" s="10"/>
      <c r="AK21" s="10"/>
      <c r="AL21" s="54"/>
      <c r="AM21" s="54"/>
    </row>
    <row r="22" spans="1:39" ht="2.25" customHeight="1" thickBot="1" x14ac:dyDescent="0.35">
      <c r="A22" s="54"/>
      <c r="B22" s="2"/>
      <c r="C22" s="54"/>
      <c r="D22" s="10"/>
      <c r="E22" s="8"/>
      <c r="F22" s="14"/>
      <c r="G22" s="14"/>
      <c r="H22" s="106"/>
      <c r="I22" s="106"/>
      <c r="J22" s="106"/>
      <c r="K22" s="106"/>
      <c r="L22" s="106"/>
      <c r="M22" s="106"/>
      <c r="N22" s="106"/>
      <c r="O22" s="106"/>
      <c r="P22" s="106"/>
      <c r="Q22" s="106"/>
      <c r="R22" s="106"/>
      <c r="S22" s="106"/>
      <c r="T22" s="106"/>
      <c r="U22" s="106"/>
      <c r="V22" s="106"/>
      <c r="W22" s="106"/>
      <c r="X22" s="106"/>
      <c r="Y22" s="106"/>
      <c r="Z22" s="106"/>
      <c r="AA22" s="106"/>
      <c r="AB22" s="54"/>
      <c r="AC22" s="54"/>
      <c r="AD22" s="54"/>
      <c r="AE22" s="54"/>
      <c r="AF22" s="54"/>
      <c r="AG22" s="54"/>
      <c r="AH22" s="54"/>
      <c r="AI22" s="63"/>
      <c r="AJ22" s="10"/>
      <c r="AK22" s="10"/>
      <c r="AL22" s="54"/>
      <c r="AM22" s="54"/>
    </row>
    <row r="23" spans="1:39" ht="15" customHeight="1" x14ac:dyDescent="0.3">
      <c r="A23" s="106"/>
      <c r="B23" s="28" t="s">
        <v>51</v>
      </c>
      <c r="C23" s="258" t="s">
        <v>52</v>
      </c>
      <c r="D23" s="259"/>
      <c r="E23" s="260"/>
      <c r="F23" s="29" t="s">
        <v>53</v>
      </c>
      <c r="G23" s="13"/>
      <c r="H23" s="261" t="s">
        <v>54</v>
      </c>
      <c r="I23" s="234"/>
      <c r="J23" s="234"/>
      <c r="K23" s="234"/>
      <c r="L23" s="262" t="s">
        <v>51</v>
      </c>
      <c r="M23" s="262"/>
      <c r="N23" s="262"/>
      <c r="O23" s="234" t="s">
        <v>55</v>
      </c>
      <c r="P23" s="234"/>
      <c r="Q23" s="234"/>
      <c r="R23" s="263" t="s">
        <v>56</v>
      </c>
      <c r="S23" s="264"/>
      <c r="T23" s="264"/>
      <c r="U23" s="264"/>
      <c r="V23" s="264"/>
      <c r="W23" s="264"/>
      <c r="X23" s="264"/>
      <c r="Y23" s="264"/>
      <c r="Z23" s="265"/>
      <c r="AA23" s="54"/>
      <c r="AB23" s="104" t="s">
        <v>57</v>
      </c>
      <c r="AC23" s="101" t="s">
        <v>112</v>
      </c>
      <c r="AD23" s="234" t="s">
        <v>40</v>
      </c>
      <c r="AE23" s="234"/>
      <c r="AF23" s="235"/>
      <c r="AG23" s="54"/>
      <c r="AH23" s="54"/>
      <c r="AI23" s="63"/>
      <c r="AJ23" s="10"/>
      <c r="AK23" s="10"/>
      <c r="AL23" s="54"/>
      <c r="AM23" s="54"/>
    </row>
    <row r="24" spans="1:39" ht="15" customHeight="1" x14ac:dyDescent="0.3">
      <c r="A24" s="106"/>
      <c r="B24" s="89" t="s">
        <v>202</v>
      </c>
      <c r="C24" s="236" t="s">
        <v>203</v>
      </c>
      <c r="D24" s="237"/>
      <c r="E24" s="238"/>
      <c r="F24" s="21" t="s">
        <v>204</v>
      </c>
      <c r="G24" s="70" t="s">
        <v>58</v>
      </c>
      <c r="H24" s="239" t="s">
        <v>58</v>
      </c>
      <c r="I24" s="240"/>
      <c r="J24" s="240"/>
      <c r="K24" s="240"/>
      <c r="L24" s="241" t="s">
        <v>83</v>
      </c>
      <c r="M24" s="242"/>
      <c r="N24" s="243"/>
      <c r="O24" s="241" t="s">
        <v>83</v>
      </c>
      <c r="P24" s="242"/>
      <c r="Q24" s="243"/>
      <c r="R24" s="244" t="s">
        <v>83</v>
      </c>
      <c r="S24" s="245"/>
      <c r="T24" s="245"/>
      <c r="U24" s="245"/>
      <c r="V24" s="245"/>
      <c r="W24" s="245"/>
      <c r="X24" s="245"/>
      <c r="Y24" s="245"/>
      <c r="Z24" s="246"/>
      <c r="AA24" s="69" t="s">
        <v>94</v>
      </c>
      <c r="AB24" s="102" t="s">
        <v>59</v>
      </c>
      <c r="AC24" s="100" t="s">
        <v>83</v>
      </c>
      <c r="AD24" s="247" t="s">
        <v>83</v>
      </c>
      <c r="AE24" s="247"/>
      <c r="AF24" s="248"/>
      <c r="AG24" s="54"/>
      <c r="AH24" s="54"/>
      <c r="AI24" s="63"/>
      <c r="AJ24" s="10"/>
      <c r="AK24" s="10"/>
      <c r="AL24" s="54"/>
      <c r="AM24" s="54"/>
    </row>
    <row r="25" spans="1:39" x14ac:dyDescent="0.3">
      <c r="A25" s="106"/>
      <c r="B25" s="89" t="s">
        <v>205</v>
      </c>
      <c r="C25" s="236" t="s">
        <v>206</v>
      </c>
      <c r="D25" s="237"/>
      <c r="E25" s="238"/>
      <c r="F25" s="21" t="s">
        <v>207</v>
      </c>
      <c r="G25" s="71" t="s">
        <v>4</v>
      </c>
      <c r="H25" s="239" t="s">
        <v>4</v>
      </c>
      <c r="I25" s="240"/>
      <c r="J25" s="240"/>
      <c r="K25" s="240"/>
      <c r="L25" s="241" t="s">
        <v>83</v>
      </c>
      <c r="M25" s="242"/>
      <c r="N25" s="243"/>
      <c r="O25" s="241" t="s">
        <v>83</v>
      </c>
      <c r="P25" s="242"/>
      <c r="Q25" s="243"/>
      <c r="R25" s="244" t="s">
        <v>83</v>
      </c>
      <c r="S25" s="245"/>
      <c r="T25" s="245"/>
      <c r="U25" s="245"/>
      <c r="V25" s="245"/>
      <c r="W25" s="245"/>
      <c r="X25" s="245"/>
      <c r="Y25" s="245"/>
      <c r="Z25" s="246"/>
      <c r="AA25" s="69" t="s">
        <v>95</v>
      </c>
      <c r="AB25" s="102" t="s">
        <v>60</v>
      </c>
      <c r="AC25" s="100" t="s">
        <v>83</v>
      </c>
      <c r="AD25" s="247" t="s">
        <v>83</v>
      </c>
      <c r="AE25" s="247"/>
      <c r="AF25" s="248"/>
      <c r="AG25" s="54"/>
      <c r="AH25" s="54"/>
      <c r="AI25" s="63"/>
      <c r="AJ25" s="10"/>
      <c r="AK25" s="10"/>
      <c r="AL25" s="54"/>
      <c r="AM25" s="54"/>
    </row>
    <row r="26" spans="1:39" x14ac:dyDescent="0.3">
      <c r="A26" s="106"/>
      <c r="B26" s="89" t="s">
        <v>208</v>
      </c>
      <c r="C26" s="236" t="s">
        <v>206</v>
      </c>
      <c r="D26" s="237"/>
      <c r="E26" s="238"/>
      <c r="F26" s="21" t="s">
        <v>207</v>
      </c>
      <c r="G26" s="71" t="s">
        <v>3</v>
      </c>
      <c r="H26" s="239" t="s">
        <v>3</v>
      </c>
      <c r="I26" s="240"/>
      <c r="J26" s="240"/>
      <c r="K26" s="240"/>
      <c r="L26" s="241" t="s">
        <v>83</v>
      </c>
      <c r="M26" s="242"/>
      <c r="N26" s="243"/>
      <c r="O26" s="241" t="s">
        <v>83</v>
      </c>
      <c r="P26" s="242"/>
      <c r="Q26" s="243"/>
      <c r="R26" s="244" t="s">
        <v>83</v>
      </c>
      <c r="S26" s="245"/>
      <c r="T26" s="245"/>
      <c r="U26" s="245"/>
      <c r="V26" s="245"/>
      <c r="W26" s="245"/>
      <c r="X26" s="245"/>
      <c r="Y26" s="245"/>
      <c r="Z26" s="246"/>
      <c r="AA26" s="69" t="s">
        <v>61</v>
      </c>
      <c r="AB26" s="102" t="s">
        <v>61</v>
      </c>
      <c r="AC26" s="100" t="s">
        <v>83</v>
      </c>
      <c r="AD26" s="247" t="s">
        <v>83</v>
      </c>
      <c r="AE26" s="247"/>
      <c r="AF26" s="248"/>
      <c r="AG26" s="54"/>
      <c r="AH26" s="54"/>
      <c r="AI26" s="63"/>
      <c r="AJ26" s="10"/>
      <c r="AK26" s="10"/>
      <c r="AL26" s="54"/>
      <c r="AM26" s="54"/>
    </row>
    <row r="27" spans="1:39" x14ac:dyDescent="0.3">
      <c r="A27" s="106"/>
      <c r="B27" s="89" t="s">
        <v>209</v>
      </c>
      <c r="C27" s="236" t="s">
        <v>206</v>
      </c>
      <c r="D27" s="237"/>
      <c r="E27" s="238"/>
      <c r="F27" s="21" t="s">
        <v>207</v>
      </c>
      <c r="G27" s="71" t="s">
        <v>99</v>
      </c>
      <c r="H27" s="239" t="s">
        <v>2</v>
      </c>
      <c r="I27" s="240"/>
      <c r="J27" s="240"/>
      <c r="K27" s="240"/>
      <c r="L27" s="241" t="s">
        <v>83</v>
      </c>
      <c r="M27" s="242"/>
      <c r="N27" s="243"/>
      <c r="O27" s="241" t="s">
        <v>83</v>
      </c>
      <c r="P27" s="242"/>
      <c r="Q27" s="243"/>
      <c r="R27" s="244" t="s">
        <v>83</v>
      </c>
      <c r="S27" s="245"/>
      <c r="T27" s="245"/>
      <c r="U27" s="245"/>
      <c r="V27" s="245"/>
      <c r="W27" s="245"/>
      <c r="X27" s="245"/>
      <c r="Y27" s="245"/>
      <c r="Z27" s="246"/>
      <c r="AA27" s="69" t="s">
        <v>96</v>
      </c>
      <c r="AB27" s="102" t="s">
        <v>62</v>
      </c>
      <c r="AC27" s="100" t="s">
        <v>83</v>
      </c>
      <c r="AD27" s="247" t="s">
        <v>83</v>
      </c>
      <c r="AE27" s="247"/>
      <c r="AF27" s="248"/>
      <c r="AG27" s="54"/>
      <c r="AH27" s="54"/>
      <c r="AI27" s="63"/>
      <c r="AJ27" s="10"/>
      <c r="AK27" s="10"/>
      <c r="AL27" s="54"/>
      <c r="AM27" s="54"/>
    </row>
    <row r="28" spans="1:39" x14ac:dyDescent="0.3">
      <c r="A28" s="106"/>
      <c r="B28" s="89" t="s">
        <v>210</v>
      </c>
      <c r="C28" s="236" t="s">
        <v>206</v>
      </c>
      <c r="D28" s="237"/>
      <c r="E28" s="238"/>
      <c r="F28" s="21" t="s">
        <v>207</v>
      </c>
      <c r="G28" s="71" t="s">
        <v>100</v>
      </c>
      <c r="H28" s="239" t="s">
        <v>63</v>
      </c>
      <c r="I28" s="240"/>
      <c r="J28" s="240"/>
      <c r="K28" s="240"/>
      <c r="L28" s="241" t="s">
        <v>83</v>
      </c>
      <c r="M28" s="242"/>
      <c r="N28" s="243"/>
      <c r="O28" s="241" t="s">
        <v>83</v>
      </c>
      <c r="P28" s="242"/>
      <c r="Q28" s="243"/>
      <c r="R28" s="244" t="s">
        <v>83</v>
      </c>
      <c r="S28" s="245"/>
      <c r="T28" s="245"/>
      <c r="U28" s="245"/>
      <c r="V28" s="245"/>
      <c r="W28" s="245"/>
      <c r="X28" s="245"/>
      <c r="Y28" s="245"/>
      <c r="Z28" s="246"/>
      <c r="AA28" s="69" t="s">
        <v>97</v>
      </c>
      <c r="AB28" s="102" t="s">
        <v>64</v>
      </c>
      <c r="AC28" s="100" t="s">
        <v>83</v>
      </c>
      <c r="AD28" s="247" t="s">
        <v>83</v>
      </c>
      <c r="AE28" s="247"/>
      <c r="AF28" s="248"/>
      <c r="AG28" s="54"/>
      <c r="AH28" s="54"/>
      <c r="AI28" s="63"/>
      <c r="AJ28" s="10"/>
      <c r="AK28" s="10"/>
      <c r="AL28" s="54"/>
      <c r="AM28" s="54"/>
    </row>
    <row r="29" spans="1:39" x14ac:dyDescent="0.3">
      <c r="A29" s="106"/>
      <c r="B29" s="89" t="s">
        <v>211</v>
      </c>
      <c r="C29" s="236" t="s">
        <v>212</v>
      </c>
      <c r="D29" s="237"/>
      <c r="E29" s="238"/>
      <c r="F29" s="21" t="s">
        <v>207</v>
      </c>
      <c r="G29" s="71" t="s">
        <v>101</v>
      </c>
      <c r="H29" s="239" t="s">
        <v>65</v>
      </c>
      <c r="I29" s="240"/>
      <c r="J29" s="240"/>
      <c r="K29" s="240"/>
      <c r="L29" s="241" t="s">
        <v>83</v>
      </c>
      <c r="M29" s="242"/>
      <c r="N29" s="243"/>
      <c r="O29" s="241" t="s">
        <v>83</v>
      </c>
      <c r="P29" s="242"/>
      <c r="Q29" s="243"/>
      <c r="R29" s="244" t="s">
        <v>83</v>
      </c>
      <c r="S29" s="245"/>
      <c r="T29" s="245"/>
      <c r="U29" s="245"/>
      <c r="V29" s="245"/>
      <c r="W29" s="245"/>
      <c r="X29" s="245"/>
      <c r="Y29" s="245"/>
      <c r="Z29" s="246"/>
      <c r="AA29" s="69" t="s">
        <v>66</v>
      </c>
      <c r="AB29" s="102" t="s">
        <v>66</v>
      </c>
      <c r="AC29" s="100" t="s">
        <v>83</v>
      </c>
      <c r="AD29" s="247" t="s">
        <v>83</v>
      </c>
      <c r="AE29" s="247"/>
      <c r="AF29" s="248"/>
      <c r="AG29" s="54"/>
      <c r="AH29" s="54"/>
      <c r="AI29" s="63"/>
      <c r="AJ29" s="10"/>
      <c r="AK29" s="10"/>
      <c r="AL29" s="54"/>
      <c r="AM29" s="54"/>
    </row>
    <row r="30" spans="1:39" ht="15" thickBot="1" x14ac:dyDescent="0.35">
      <c r="A30" s="106"/>
      <c r="B30" s="89" t="s">
        <v>213</v>
      </c>
      <c r="C30" s="236" t="s">
        <v>214</v>
      </c>
      <c r="D30" s="237"/>
      <c r="E30" s="238"/>
      <c r="F30" s="21" t="s">
        <v>207</v>
      </c>
      <c r="G30" s="71" t="s">
        <v>102</v>
      </c>
      <c r="H30" s="239" t="s">
        <v>67</v>
      </c>
      <c r="I30" s="240"/>
      <c r="J30" s="240"/>
      <c r="K30" s="240"/>
      <c r="L30" s="241" t="s">
        <v>83</v>
      </c>
      <c r="M30" s="242"/>
      <c r="N30" s="243"/>
      <c r="O30" s="241" t="s">
        <v>83</v>
      </c>
      <c r="P30" s="242"/>
      <c r="Q30" s="243"/>
      <c r="R30" s="244" t="s">
        <v>83</v>
      </c>
      <c r="S30" s="245"/>
      <c r="T30" s="245"/>
      <c r="U30" s="245"/>
      <c r="V30" s="245"/>
      <c r="W30" s="245"/>
      <c r="X30" s="245"/>
      <c r="Y30" s="245"/>
      <c r="Z30" s="246"/>
      <c r="AA30" s="69" t="s">
        <v>98</v>
      </c>
      <c r="AB30" s="108" t="s">
        <v>68</v>
      </c>
      <c r="AC30" s="84" t="s">
        <v>83</v>
      </c>
      <c r="AD30" s="282" t="s">
        <v>83</v>
      </c>
      <c r="AE30" s="282"/>
      <c r="AF30" s="283"/>
      <c r="AG30" s="54"/>
      <c r="AH30" s="54"/>
      <c r="AI30" s="63"/>
      <c r="AJ30" s="10"/>
      <c r="AK30" s="10"/>
      <c r="AL30" s="54"/>
      <c r="AM30" s="54"/>
    </row>
    <row r="31" spans="1:39" ht="15" thickBot="1" x14ac:dyDescent="0.35">
      <c r="A31" s="106"/>
      <c r="B31" s="89" t="s">
        <v>215</v>
      </c>
      <c r="C31" s="236" t="s">
        <v>216</v>
      </c>
      <c r="D31" s="237"/>
      <c r="E31" s="238"/>
      <c r="F31" s="21" t="s">
        <v>207</v>
      </c>
      <c r="G31" s="71" t="s">
        <v>103</v>
      </c>
      <c r="H31" s="239" t="s">
        <v>69</v>
      </c>
      <c r="I31" s="240"/>
      <c r="J31" s="240"/>
      <c r="K31" s="240"/>
      <c r="L31" s="241" t="s">
        <v>83</v>
      </c>
      <c r="M31" s="242"/>
      <c r="N31" s="243"/>
      <c r="O31" s="241" t="s">
        <v>83</v>
      </c>
      <c r="P31" s="242"/>
      <c r="Q31" s="243"/>
      <c r="R31" s="244" t="s">
        <v>83</v>
      </c>
      <c r="S31" s="245"/>
      <c r="T31" s="245"/>
      <c r="U31" s="245"/>
      <c r="V31" s="245"/>
      <c r="W31" s="245"/>
      <c r="X31" s="245"/>
      <c r="Y31" s="245"/>
      <c r="Z31" s="246"/>
      <c r="AA31" s="54"/>
      <c r="AB31" s="289"/>
      <c r="AC31" s="289"/>
      <c r="AD31" s="289"/>
      <c r="AE31" s="289"/>
      <c r="AF31" s="289"/>
      <c r="AG31" s="54"/>
      <c r="AH31" s="54"/>
      <c r="AI31" s="63"/>
      <c r="AJ31" s="10"/>
      <c r="AK31" s="10"/>
      <c r="AL31" s="54"/>
      <c r="AM31" s="54"/>
    </row>
    <row r="32" spans="1:39" x14ac:dyDescent="0.3">
      <c r="A32" s="106"/>
      <c r="B32" s="89" t="s">
        <v>217</v>
      </c>
      <c r="C32" s="236" t="s">
        <v>206</v>
      </c>
      <c r="D32" s="237"/>
      <c r="E32" s="238"/>
      <c r="F32" s="21" t="s">
        <v>207</v>
      </c>
      <c r="G32" s="71" t="s">
        <v>104</v>
      </c>
      <c r="H32" s="239" t="s">
        <v>70</v>
      </c>
      <c r="I32" s="240"/>
      <c r="J32" s="240"/>
      <c r="K32" s="240"/>
      <c r="L32" s="241" t="s">
        <v>83</v>
      </c>
      <c r="M32" s="242"/>
      <c r="N32" s="243"/>
      <c r="O32" s="241" t="s">
        <v>83</v>
      </c>
      <c r="P32" s="242"/>
      <c r="Q32" s="243"/>
      <c r="R32" s="244" t="s">
        <v>83</v>
      </c>
      <c r="S32" s="245"/>
      <c r="T32" s="245"/>
      <c r="U32" s="245"/>
      <c r="V32" s="245"/>
      <c r="W32" s="245"/>
      <c r="X32" s="245"/>
      <c r="Y32" s="245"/>
      <c r="Z32" s="246"/>
      <c r="AA32" s="54"/>
      <c r="AB32" s="30" t="s">
        <v>71</v>
      </c>
      <c r="AC32" s="290" t="s">
        <v>72</v>
      </c>
      <c r="AD32" s="291"/>
      <c r="AE32" s="31"/>
      <c r="AF32" s="32" t="s">
        <v>73</v>
      </c>
      <c r="AG32" s="54"/>
      <c r="AH32" s="54"/>
      <c r="AI32" s="63"/>
      <c r="AJ32" s="10"/>
      <c r="AK32" s="10"/>
      <c r="AL32" s="54"/>
      <c r="AM32" s="54"/>
    </row>
    <row r="33" spans="1:39" x14ac:dyDescent="0.3">
      <c r="A33" s="106"/>
      <c r="B33" s="89" t="s">
        <v>218</v>
      </c>
      <c r="C33" s="236" t="s">
        <v>206</v>
      </c>
      <c r="D33" s="237"/>
      <c r="E33" s="238"/>
      <c r="F33" s="21" t="s">
        <v>207</v>
      </c>
      <c r="G33" s="71" t="s">
        <v>105</v>
      </c>
      <c r="H33" s="284" t="s">
        <v>74</v>
      </c>
      <c r="I33" s="285"/>
      <c r="J33" s="285"/>
      <c r="K33" s="286"/>
      <c r="L33" s="241" t="s">
        <v>83</v>
      </c>
      <c r="M33" s="242"/>
      <c r="N33" s="243"/>
      <c r="O33" s="241" t="s">
        <v>83</v>
      </c>
      <c r="P33" s="242"/>
      <c r="Q33" s="243"/>
      <c r="R33" s="244" t="s">
        <v>83</v>
      </c>
      <c r="S33" s="245"/>
      <c r="T33" s="245"/>
      <c r="U33" s="245"/>
      <c r="V33" s="245"/>
      <c r="W33" s="245"/>
      <c r="X33" s="245"/>
      <c r="Y33" s="245"/>
      <c r="Z33" s="246"/>
      <c r="AA33" s="54"/>
      <c r="AB33" s="24"/>
      <c r="AC33" s="287"/>
      <c r="AD33" s="288"/>
      <c r="AE33" s="106"/>
      <c r="AF33" s="26"/>
      <c r="AG33" s="54"/>
      <c r="AH33" s="54"/>
      <c r="AI33" s="63"/>
      <c r="AJ33" s="10"/>
      <c r="AK33" s="10"/>
      <c r="AL33" s="54"/>
      <c r="AM33" s="54"/>
    </row>
    <row r="34" spans="1:39" x14ac:dyDescent="0.3">
      <c r="A34" s="106"/>
      <c r="B34" s="89" t="s">
        <v>219</v>
      </c>
      <c r="C34" s="236" t="s">
        <v>220</v>
      </c>
      <c r="D34" s="237"/>
      <c r="E34" s="238"/>
      <c r="F34" s="21" t="s">
        <v>207</v>
      </c>
      <c r="G34" s="71" t="s">
        <v>106</v>
      </c>
      <c r="H34" s="239" t="s">
        <v>75</v>
      </c>
      <c r="I34" s="240"/>
      <c r="J34" s="240"/>
      <c r="K34" s="240"/>
      <c r="L34" s="241" t="s">
        <v>83</v>
      </c>
      <c r="M34" s="242"/>
      <c r="N34" s="243"/>
      <c r="O34" s="241" t="s">
        <v>83</v>
      </c>
      <c r="P34" s="242"/>
      <c r="Q34" s="243"/>
      <c r="R34" s="244" t="s">
        <v>83</v>
      </c>
      <c r="S34" s="245"/>
      <c r="T34" s="245"/>
      <c r="U34" s="245"/>
      <c r="V34" s="245"/>
      <c r="W34" s="245"/>
      <c r="X34" s="245"/>
      <c r="Y34" s="245"/>
      <c r="Z34" s="246"/>
      <c r="AA34" s="54"/>
      <c r="AB34" s="24"/>
      <c r="AC34" s="287"/>
      <c r="AD34" s="288"/>
      <c r="AE34" s="106"/>
      <c r="AF34" s="26"/>
      <c r="AG34" s="54"/>
      <c r="AH34" s="54"/>
      <c r="AI34" s="63"/>
      <c r="AJ34" s="10"/>
      <c r="AK34" s="10"/>
      <c r="AL34" s="54"/>
      <c r="AM34" s="54"/>
    </row>
    <row r="35" spans="1:39" x14ac:dyDescent="0.3">
      <c r="A35" s="106"/>
      <c r="B35" s="89" t="s">
        <v>221</v>
      </c>
      <c r="C35" s="236" t="s">
        <v>222</v>
      </c>
      <c r="D35" s="237"/>
      <c r="E35" s="238"/>
      <c r="F35" s="21" t="s">
        <v>207</v>
      </c>
      <c r="G35" s="71" t="s">
        <v>5</v>
      </c>
      <c r="H35" s="239" t="s">
        <v>5</v>
      </c>
      <c r="I35" s="240"/>
      <c r="J35" s="240"/>
      <c r="K35" s="240"/>
      <c r="L35" s="241" t="s">
        <v>83</v>
      </c>
      <c r="M35" s="242"/>
      <c r="N35" s="243"/>
      <c r="O35" s="241" t="s">
        <v>83</v>
      </c>
      <c r="P35" s="242"/>
      <c r="Q35" s="243"/>
      <c r="R35" s="244" t="s">
        <v>83</v>
      </c>
      <c r="S35" s="245"/>
      <c r="T35" s="245"/>
      <c r="U35" s="245"/>
      <c r="V35" s="245"/>
      <c r="W35" s="245"/>
      <c r="X35" s="245"/>
      <c r="Y35" s="245"/>
      <c r="Z35" s="246"/>
      <c r="AA35" s="54"/>
      <c r="AB35" s="24"/>
      <c r="AC35" s="287"/>
      <c r="AD35" s="288"/>
      <c r="AE35" s="106"/>
      <c r="AF35" s="26"/>
      <c r="AG35" s="54"/>
      <c r="AH35" s="54"/>
      <c r="AI35" s="63"/>
      <c r="AJ35" s="10"/>
      <c r="AK35" s="10"/>
      <c r="AL35" s="54"/>
      <c r="AM35" s="54"/>
    </row>
    <row r="36" spans="1:39" x14ac:dyDescent="0.3">
      <c r="A36" s="106"/>
      <c r="B36" s="89" t="s">
        <v>223</v>
      </c>
      <c r="C36" s="236" t="s">
        <v>224</v>
      </c>
      <c r="D36" s="237"/>
      <c r="E36" s="238"/>
      <c r="F36" s="21" t="s">
        <v>207</v>
      </c>
      <c r="G36" s="71" t="s">
        <v>107</v>
      </c>
      <c r="H36" s="239" t="s">
        <v>76</v>
      </c>
      <c r="I36" s="240"/>
      <c r="J36" s="240"/>
      <c r="K36" s="240"/>
      <c r="L36" s="241" t="s">
        <v>83</v>
      </c>
      <c r="M36" s="242"/>
      <c r="N36" s="243"/>
      <c r="O36" s="241" t="s">
        <v>83</v>
      </c>
      <c r="P36" s="242"/>
      <c r="Q36" s="243"/>
      <c r="R36" s="244" t="s">
        <v>83</v>
      </c>
      <c r="S36" s="245"/>
      <c r="T36" s="245"/>
      <c r="U36" s="245"/>
      <c r="V36" s="245"/>
      <c r="W36" s="245"/>
      <c r="X36" s="245"/>
      <c r="Y36" s="245"/>
      <c r="Z36" s="246"/>
      <c r="AA36" s="54"/>
      <c r="AB36" s="24"/>
      <c r="AC36" s="287"/>
      <c r="AD36" s="288"/>
      <c r="AE36" s="106"/>
      <c r="AF36" s="26"/>
      <c r="AG36" s="54"/>
      <c r="AH36" s="54"/>
      <c r="AI36" s="63"/>
      <c r="AJ36" s="10"/>
      <c r="AK36" s="10"/>
      <c r="AL36" s="54"/>
      <c r="AM36" s="54"/>
    </row>
    <row r="37" spans="1:39" x14ac:dyDescent="0.3">
      <c r="A37" s="106"/>
      <c r="B37" s="89" t="s">
        <v>225</v>
      </c>
      <c r="C37" s="236" t="s">
        <v>226</v>
      </c>
      <c r="D37" s="237"/>
      <c r="E37" s="238"/>
      <c r="F37" s="21" t="s">
        <v>207</v>
      </c>
      <c r="G37" s="71" t="s">
        <v>108</v>
      </c>
      <c r="H37" s="239" t="s">
        <v>77</v>
      </c>
      <c r="I37" s="240"/>
      <c r="J37" s="240"/>
      <c r="K37" s="240"/>
      <c r="L37" s="241" t="s">
        <v>83</v>
      </c>
      <c r="M37" s="242"/>
      <c r="N37" s="243"/>
      <c r="O37" s="241" t="s">
        <v>83</v>
      </c>
      <c r="P37" s="242"/>
      <c r="Q37" s="243"/>
      <c r="R37" s="244" t="s">
        <v>83</v>
      </c>
      <c r="S37" s="245"/>
      <c r="T37" s="245"/>
      <c r="U37" s="245"/>
      <c r="V37" s="245"/>
      <c r="W37" s="245"/>
      <c r="X37" s="245"/>
      <c r="Y37" s="245"/>
      <c r="Z37" s="246"/>
      <c r="AA37" s="54"/>
      <c r="AB37" s="24"/>
      <c r="AC37" s="287"/>
      <c r="AD37" s="288"/>
      <c r="AE37" s="106"/>
      <c r="AF37" s="26"/>
      <c r="AG37" s="54"/>
      <c r="AH37" s="54"/>
      <c r="AI37" s="63"/>
      <c r="AJ37" s="10"/>
      <c r="AK37" s="10"/>
      <c r="AL37" s="54"/>
      <c r="AM37" s="54"/>
    </row>
    <row r="38" spans="1:39" x14ac:dyDescent="0.3">
      <c r="A38" s="106"/>
      <c r="B38" s="89" t="s">
        <v>227</v>
      </c>
      <c r="C38" s="236" t="s">
        <v>224</v>
      </c>
      <c r="D38" s="237"/>
      <c r="E38" s="238"/>
      <c r="F38" s="21" t="s">
        <v>207</v>
      </c>
      <c r="G38" s="71" t="s">
        <v>109</v>
      </c>
      <c r="H38" s="239" t="s">
        <v>78</v>
      </c>
      <c r="I38" s="240"/>
      <c r="J38" s="240"/>
      <c r="K38" s="240"/>
      <c r="L38" s="241" t="s">
        <v>83</v>
      </c>
      <c r="M38" s="242"/>
      <c r="N38" s="243"/>
      <c r="O38" s="241" t="s">
        <v>83</v>
      </c>
      <c r="P38" s="242"/>
      <c r="Q38" s="243"/>
      <c r="R38" s="244" t="s">
        <v>83</v>
      </c>
      <c r="S38" s="245"/>
      <c r="T38" s="245"/>
      <c r="U38" s="245"/>
      <c r="V38" s="245"/>
      <c r="W38" s="245"/>
      <c r="X38" s="245"/>
      <c r="Y38" s="245"/>
      <c r="Z38" s="246"/>
      <c r="AA38" s="54"/>
      <c r="AB38" s="24"/>
      <c r="AC38" s="287"/>
      <c r="AD38" s="288"/>
      <c r="AE38" s="106"/>
      <c r="AF38" s="26"/>
      <c r="AG38" s="54"/>
      <c r="AH38" s="54"/>
      <c r="AI38" s="63"/>
      <c r="AJ38" s="10"/>
      <c r="AK38" s="10"/>
      <c r="AL38" s="54"/>
      <c r="AM38" s="54"/>
    </row>
    <row r="39" spans="1:39" ht="15" thickBot="1" x14ac:dyDescent="0.35">
      <c r="A39" s="106"/>
      <c r="B39" s="89" t="s">
        <v>228</v>
      </c>
      <c r="C39" s="236" t="s">
        <v>224</v>
      </c>
      <c r="D39" s="237"/>
      <c r="E39" s="238"/>
      <c r="F39" s="21" t="s">
        <v>207</v>
      </c>
      <c r="G39" s="71" t="s">
        <v>79</v>
      </c>
      <c r="H39" s="239" t="s">
        <v>79</v>
      </c>
      <c r="I39" s="240"/>
      <c r="J39" s="240"/>
      <c r="K39" s="240"/>
      <c r="L39" s="241" t="s">
        <v>83</v>
      </c>
      <c r="M39" s="242"/>
      <c r="N39" s="243"/>
      <c r="O39" s="241" t="s">
        <v>83</v>
      </c>
      <c r="P39" s="242"/>
      <c r="Q39" s="243"/>
      <c r="R39" s="244" t="s">
        <v>83</v>
      </c>
      <c r="S39" s="245"/>
      <c r="T39" s="245"/>
      <c r="U39" s="245"/>
      <c r="V39" s="245"/>
      <c r="W39" s="245"/>
      <c r="X39" s="245"/>
      <c r="Y39" s="245"/>
      <c r="Z39" s="246"/>
      <c r="AA39" s="54"/>
      <c r="AB39" s="25"/>
      <c r="AC39" s="321"/>
      <c r="AD39" s="322"/>
      <c r="AE39" s="106"/>
      <c r="AF39" s="27"/>
      <c r="AG39" s="54"/>
      <c r="AH39" s="54"/>
      <c r="AI39" s="63"/>
      <c r="AJ39" s="10"/>
      <c r="AK39" s="10"/>
      <c r="AL39" s="54"/>
      <c r="AM39" s="54"/>
    </row>
    <row r="40" spans="1:39" x14ac:dyDescent="0.3">
      <c r="A40" s="106"/>
      <c r="B40" s="89" t="s">
        <v>229</v>
      </c>
      <c r="C40" s="236" t="s">
        <v>226</v>
      </c>
      <c r="D40" s="237"/>
      <c r="E40" s="238"/>
      <c r="F40" s="21" t="s">
        <v>207</v>
      </c>
      <c r="G40" s="71" t="s">
        <v>110</v>
      </c>
      <c r="H40" s="239" t="s">
        <v>80</v>
      </c>
      <c r="I40" s="240"/>
      <c r="J40" s="240"/>
      <c r="K40" s="240"/>
      <c r="L40" s="241" t="s">
        <v>83</v>
      </c>
      <c r="M40" s="242"/>
      <c r="N40" s="243"/>
      <c r="O40" s="241" t="s">
        <v>83</v>
      </c>
      <c r="P40" s="242"/>
      <c r="Q40" s="243"/>
      <c r="R40" s="244" t="s">
        <v>83</v>
      </c>
      <c r="S40" s="245"/>
      <c r="T40" s="245"/>
      <c r="U40" s="245"/>
      <c r="V40" s="245"/>
      <c r="W40" s="245"/>
      <c r="X40" s="245"/>
      <c r="Y40" s="245"/>
      <c r="Z40" s="246"/>
      <c r="AA40" s="54"/>
      <c r="AB40" s="106"/>
      <c r="AC40" s="106"/>
      <c r="AD40" s="106"/>
      <c r="AE40" s="106"/>
      <c r="AF40" s="106"/>
      <c r="AG40" s="54"/>
      <c r="AH40" s="54"/>
      <c r="AI40" s="63"/>
      <c r="AJ40" s="10"/>
      <c r="AK40" s="10"/>
      <c r="AL40" s="54"/>
      <c r="AM40" s="54"/>
    </row>
    <row r="41" spans="1:39" x14ac:dyDescent="0.3">
      <c r="A41" s="106"/>
      <c r="B41" s="89" t="s">
        <v>230</v>
      </c>
      <c r="C41" s="236" t="s">
        <v>231</v>
      </c>
      <c r="D41" s="237"/>
      <c r="E41" s="238"/>
      <c r="F41" s="21" t="s">
        <v>207</v>
      </c>
      <c r="G41" s="71" t="s">
        <v>111</v>
      </c>
      <c r="H41" s="239" t="s">
        <v>81</v>
      </c>
      <c r="I41" s="240"/>
      <c r="J41" s="240"/>
      <c r="K41" s="240"/>
      <c r="L41" s="241" t="s">
        <v>83</v>
      </c>
      <c r="M41" s="242"/>
      <c r="N41" s="243"/>
      <c r="O41" s="241" t="s">
        <v>83</v>
      </c>
      <c r="P41" s="242"/>
      <c r="Q41" s="243"/>
      <c r="R41" s="244" t="s">
        <v>83</v>
      </c>
      <c r="S41" s="245"/>
      <c r="T41" s="245"/>
      <c r="U41" s="245"/>
      <c r="V41" s="245"/>
      <c r="W41" s="245"/>
      <c r="X41" s="245"/>
      <c r="Y41" s="245"/>
      <c r="Z41" s="246"/>
      <c r="AA41" s="54"/>
      <c r="AB41" s="106"/>
      <c r="AC41" s="106"/>
      <c r="AD41" s="106"/>
      <c r="AE41" s="106"/>
      <c r="AF41" s="106"/>
      <c r="AG41" s="54"/>
      <c r="AH41" s="54"/>
      <c r="AI41" s="63"/>
      <c r="AJ41" s="10"/>
      <c r="AK41" s="10"/>
      <c r="AL41" s="54"/>
      <c r="AM41" s="54"/>
    </row>
    <row r="42" spans="1:39" x14ac:dyDescent="0.3">
      <c r="A42" s="106"/>
      <c r="B42" s="89" t="s">
        <v>232</v>
      </c>
      <c r="C42" s="236" t="s">
        <v>233</v>
      </c>
      <c r="D42" s="237"/>
      <c r="E42" s="238"/>
      <c r="F42" s="21" t="s">
        <v>234</v>
      </c>
      <c r="G42" s="71" t="s">
        <v>14</v>
      </c>
      <c r="H42" s="239" t="s">
        <v>88</v>
      </c>
      <c r="I42" s="240"/>
      <c r="J42" s="240"/>
      <c r="K42" s="240"/>
      <c r="L42" s="241" t="s">
        <v>83</v>
      </c>
      <c r="M42" s="242"/>
      <c r="N42" s="243"/>
      <c r="O42" s="241" t="s">
        <v>83</v>
      </c>
      <c r="P42" s="242"/>
      <c r="Q42" s="243"/>
      <c r="R42" s="244" t="s">
        <v>83</v>
      </c>
      <c r="S42" s="245"/>
      <c r="T42" s="245"/>
      <c r="U42" s="245"/>
      <c r="V42" s="245"/>
      <c r="W42" s="245"/>
      <c r="X42" s="245"/>
      <c r="Y42" s="245"/>
      <c r="Z42" s="246"/>
      <c r="AA42" s="54"/>
      <c r="AB42" s="106"/>
      <c r="AC42" s="106"/>
      <c r="AD42" s="106"/>
      <c r="AE42" s="106"/>
      <c r="AF42" s="106"/>
      <c r="AG42" s="54"/>
      <c r="AH42" s="54"/>
      <c r="AI42" s="63"/>
      <c r="AJ42" s="10"/>
      <c r="AK42" s="10"/>
      <c r="AL42" s="54"/>
      <c r="AM42" s="54"/>
    </row>
    <row r="43" spans="1:39" ht="15" thickBot="1" x14ac:dyDescent="0.35">
      <c r="A43" s="106"/>
      <c r="B43" s="90"/>
      <c r="C43" s="292"/>
      <c r="D43" s="293"/>
      <c r="E43" s="294"/>
      <c r="F43" s="60"/>
      <c r="G43" s="54"/>
      <c r="H43" s="295"/>
      <c r="I43" s="296"/>
      <c r="J43" s="296"/>
      <c r="K43" s="296"/>
      <c r="L43" s="297"/>
      <c r="M43" s="298"/>
      <c r="N43" s="299"/>
      <c r="O43" s="300"/>
      <c r="P43" s="301"/>
      <c r="Q43" s="302"/>
      <c r="R43" s="303"/>
      <c r="S43" s="304"/>
      <c r="T43" s="304"/>
      <c r="U43" s="304"/>
      <c r="V43" s="304"/>
      <c r="W43" s="304"/>
      <c r="X43" s="304"/>
      <c r="Y43" s="304"/>
      <c r="Z43" s="305"/>
      <c r="AA43" s="54"/>
      <c r="AB43" s="106"/>
      <c r="AC43" s="106"/>
      <c r="AD43" s="106"/>
      <c r="AE43" s="106"/>
      <c r="AF43" s="106"/>
      <c r="AG43" s="54"/>
      <c r="AH43" s="54"/>
      <c r="AI43" s="63"/>
      <c r="AJ43" s="10"/>
      <c r="AK43" s="10"/>
      <c r="AL43" s="54"/>
      <c r="AM43" s="54"/>
    </row>
    <row r="44" spans="1:39" ht="15" customHeight="1" x14ac:dyDescent="0.3">
      <c r="A44" s="106"/>
      <c r="B44" s="15"/>
      <c r="C44" s="106"/>
      <c r="D44" s="106"/>
      <c r="E44" s="15"/>
      <c r="F44" s="106"/>
      <c r="G44" s="54"/>
      <c r="H44" s="106"/>
      <c r="I44" s="106"/>
      <c r="J44" s="106"/>
      <c r="K44" s="106"/>
      <c r="L44" s="106"/>
      <c r="M44" s="106"/>
      <c r="N44" s="106"/>
      <c r="O44" s="106"/>
      <c r="P44" s="106"/>
      <c r="Q44" s="106"/>
      <c r="R44" s="106"/>
      <c r="S44" s="106"/>
      <c r="T44" s="106"/>
      <c r="U44" s="106"/>
      <c r="V44" s="106"/>
      <c r="W44" s="106"/>
      <c r="X44" s="106"/>
      <c r="Y44" s="106"/>
      <c r="Z44" s="106"/>
      <c r="AA44" s="54"/>
      <c r="AB44" s="106"/>
      <c r="AC44" s="106"/>
      <c r="AD44" s="106"/>
      <c r="AE44" s="106"/>
      <c r="AF44" s="106"/>
      <c r="AG44" s="54"/>
      <c r="AH44" s="54"/>
      <c r="AI44" s="63"/>
      <c r="AJ44" s="10"/>
      <c r="AK44" s="10"/>
      <c r="AL44" s="54"/>
      <c r="AM44" s="54"/>
    </row>
    <row r="45" spans="1:39" ht="15" customHeight="1" x14ac:dyDescent="0.3">
      <c r="A45" s="54"/>
      <c r="B45" s="2"/>
      <c r="C45" s="54"/>
      <c r="D45" s="54"/>
      <c r="E45" s="2"/>
      <c r="F45" s="54"/>
      <c r="G45" s="54"/>
      <c r="H45" s="106"/>
      <c r="I45" s="106"/>
      <c r="J45" s="106"/>
      <c r="K45" s="106"/>
      <c r="L45" s="106"/>
      <c r="M45" s="106"/>
      <c r="N45" s="106"/>
      <c r="O45" s="106"/>
      <c r="P45" s="106"/>
      <c r="Q45" s="106"/>
      <c r="R45" s="106"/>
      <c r="S45" s="106"/>
      <c r="T45" s="106"/>
      <c r="U45" s="106"/>
      <c r="V45" s="106"/>
      <c r="W45" s="106"/>
      <c r="X45" s="106"/>
      <c r="Y45" s="106"/>
      <c r="Z45" s="106"/>
      <c r="AA45" s="54"/>
      <c r="AB45" s="106"/>
      <c r="AC45" s="106"/>
      <c r="AD45" s="106"/>
      <c r="AE45" s="106"/>
      <c r="AF45" s="106"/>
      <c r="AG45" s="54"/>
      <c r="AH45" s="54"/>
      <c r="AI45" s="63"/>
      <c r="AJ45" s="10"/>
      <c r="AK45" s="10"/>
      <c r="AL45" s="54"/>
      <c r="AM45" s="54"/>
    </row>
    <row r="46" spans="1:39" ht="15" customHeight="1" x14ac:dyDescent="0.3">
      <c r="A46" s="54"/>
      <c r="B46" s="2"/>
      <c r="C46" s="54"/>
      <c r="D46" s="54"/>
      <c r="E46" s="2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63"/>
      <c r="AJ46" s="10"/>
      <c r="AK46" s="10"/>
      <c r="AL46" s="54"/>
      <c r="AM46" s="54"/>
    </row>
    <row r="47" spans="1:39" ht="15" customHeight="1" x14ac:dyDescent="0.3">
      <c r="A47" s="54"/>
      <c r="B47" s="2"/>
      <c r="C47" s="54"/>
      <c r="D47" s="54"/>
      <c r="E47" s="2"/>
      <c r="F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63"/>
      <c r="AJ47" s="10"/>
      <c r="AK47" s="10"/>
      <c r="AL47" s="54"/>
      <c r="AM47" s="54"/>
    </row>
    <row r="48" spans="1:39" ht="15" customHeight="1" x14ac:dyDescent="0.3"/>
    <row r="49" ht="15" customHeight="1" x14ac:dyDescent="0.3"/>
    <row r="50" ht="15" customHeight="1" x14ac:dyDescent="0.3"/>
  </sheetData>
  <mergeCells count="203">
    <mergeCell ref="V3:W3"/>
    <mergeCell ref="H4:H5"/>
    <mergeCell ref="E7:E8"/>
    <mergeCell ref="F7:F8"/>
    <mergeCell ref="G7:I8"/>
    <mergeCell ref="J7:Q7"/>
    <mergeCell ref="R7:W7"/>
    <mergeCell ref="J8:K8"/>
    <mergeCell ref="L8:M8"/>
    <mergeCell ref="N8:O8"/>
    <mergeCell ref="H2:H3"/>
    <mergeCell ref="J2:Q2"/>
    <mergeCell ref="R2:W2"/>
    <mergeCell ref="J3:K3"/>
    <mergeCell ref="L3:M3"/>
    <mergeCell ref="N3:O3"/>
    <mergeCell ref="P3:Q3"/>
    <mergeCell ref="R3:S3"/>
    <mergeCell ref="T3:U3"/>
    <mergeCell ref="P8:Q8"/>
    <mergeCell ref="R8:S8"/>
    <mergeCell ref="T8:U8"/>
    <mergeCell ref="V8:W8"/>
    <mergeCell ref="G9:I9"/>
    <mergeCell ref="J9:K9"/>
    <mergeCell ref="L9:M9"/>
    <mergeCell ref="N9:O9"/>
    <mergeCell ref="P9:Q9"/>
    <mergeCell ref="R9:S9"/>
    <mergeCell ref="T9:U9"/>
    <mergeCell ref="V9:W9"/>
    <mergeCell ref="G10:I10"/>
    <mergeCell ref="J10:K10"/>
    <mergeCell ref="L10:M10"/>
    <mergeCell ref="N10:O10"/>
    <mergeCell ref="P10:Q10"/>
    <mergeCell ref="R10:S10"/>
    <mergeCell ref="T10:U10"/>
    <mergeCell ref="V10:W10"/>
    <mergeCell ref="Y13:Z13"/>
    <mergeCell ref="AA13:AC13"/>
    <mergeCell ref="AD13:AF13"/>
    <mergeCell ref="Y14:Z21"/>
    <mergeCell ref="AA14:AC21"/>
    <mergeCell ref="AD14:AF21"/>
    <mergeCell ref="T11:U11"/>
    <mergeCell ref="V11:W11"/>
    <mergeCell ref="G13:I13"/>
    <mergeCell ref="J13:K13"/>
    <mergeCell ref="L13:M13"/>
    <mergeCell ref="N13:O13"/>
    <mergeCell ref="P13:Q13"/>
    <mergeCell ref="R13:S13"/>
    <mergeCell ref="T13:U13"/>
    <mergeCell ref="V13:W13"/>
    <mergeCell ref="G11:I11"/>
    <mergeCell ref="J11:K11"/>
    <mergeCell ref="L11:M11"/>
    <mergeCell ref="N11:O11"/>
    <mergeCell ref="P11:Q11"/>
    <mergeCell ref="R11:S11"/>
    <mergeCell ref="Y2:AF11"/>
    <mergeCell ref="S18:W18"/>
    <mergeCell ref="J19:J20"/>
    <mergeCell ref="K19:K20"/>
    <mergeCell ref="L19:R20"/>
    <mergeCell ref="S19:W20"/>
    <mergeCell ref="B20:H21"/>
    <mergeCell ref="L21:R21"/>
    <mergeCell ref="S21:W21"/>
    <mergeCell ref="F15:H15"/>
    <mergeCell ref="J15:R15"/>
    <mergeCell ref="S15:W15"/>
    <mergeCell ref="E16:E18"/>
    <mergeCell ref="F16:H18"/>
    <mergeCell ref="L16:R16"/>
    <mergeCell ref="S16:W16"/>
    <mergeCell ref="L17:R17"/>
    <mergeCell ref="S17:W17"/>
    <mergeCell ref="L18:R18"/>
    <mergeCell ref="C24:E24"/>
    <mergeCell ref="H24:K24"/>
    <mergeCell ref="L24:N24"/>
    <mergeCell ref="O24:Q24"/>
    <mergeCell ref="R24:Z24"/>
    <mergeCell ref="AD24:AF24"/>
    <mergeCell ref="C23:E23"/>
    <mergeCell ref="H23:K23"/>
    <mergeCell ref="L23:N23"/>
    <mergeCell ref="O23:Q23"/>
    <mergeCell ref="R23:Z23"/>
    <mergeCell ref="AD23:AF23"/>
    <mergeCell ref="C26:E26"/>
    <mergeCell ref="H26:K26"/>
    <mergeCell ref="L26:N26"/>
    <mergeCell ref="O26:Q26"/>
    <mergeCell ref="R26:Z26"/>
    <mergeCell ref="AD26:AF26"/>
    <mergeCell ref="C25:E25"/>
    <mergeCell ref="H25:K25"/>
    <mergeCell ref="L25:N25"/>
    <mergeCell ref="O25:Q25"/>
    <mergeCell ref="R25:Z25"/>
    <mergeCell ref="AD25:AF25"/>
    <mergeCell ref="C28:E28"/>
    <mergeCell ref="H28:K28"/>
    <mergeCell ref="L28:N28"/>
    <mergeCell ref="O28:Q28"/>
    <mergeCell ref="R28:Z28"/>
    <mergeCell ref="AD28:AF28"/>
    <mergeCell ref="C27:E27"/>
    <mergeCell ref="H27:K27"/>
    <mergeCell ref="L27:N27"/>
    <mergeCell ref="O27:Q27"/>
    <mergeCell ref="R27:Z27"/>
    <mergeCell ref="AD27:AF27"/>
    <mergeCell ref="C30:E30"/>
    <mergeCell ref="H30:K30"/>
    <mergeCell ref="L30:N30"/>
    <mergeCell ref="O30:Q30"/>
    <mergeCell ref="R30:Z30"/>
    <mergeCell ref="AD30:AF30"/>
    <mergeCell ref="C29:E29"/>
    <mergeCell ref="H29:K29"/>
    <mergeCell ref="L29:N29"/>
    <mergeCell ref="O29:Q29"/>
    <mergeCell ref="R29:Z29"/>
    <mergeCell ref="AD29:AF29"/>
    <mergeCell ref="C33:E33"/>
    <mergeCell ref="H33:K33"/>
    <mergeCell ref="L33:N33"/>
    <mergeCell ref="O33:Q33"/>
    <mergeCell ref="R33:Z33"/>
    <mergeCell ref="AC33:AD33"/>
    <mergeCell ref="AD31:AF31"/>
    <mergeCell ref="C32:E32"/>
    <mergeCell ref="H32:K32"/>
    <mergeCell ref="L32:N32"/>
    <mergeCell ref="O32:Q32"/>
    <mergeCell ref="R32:Z32"/>
    <mergeCell ref="AC32:AD32"/>
    <mergeCell ref="C31:E31"/>
    <mergeCell ref="H31:K31"/>
    <mergeCell ref="L31:N31"/>
    <mergeCell ref="O31:Q31"/>
    <mergeCell ref="R31:Z31"/>
    <mergeCell ref="AB31:AC31"/>
    <mergeCell ref="C35:E35"/>
    <mergeCell ref="H35:K35"/>
    <mergeCell ref="L35:N35"/>
    <mergeCell ref="O35:Q35"/>
    <mergeCell ref="R35:Z35"/>
    <mergeCell ref="AC35:AD35"/>
    <mergeCell ref="C34:E34"/>
    <mergeCell ref="H34:K34"/>
    <mergeCell ref="L34:N34"/>
    <mergeCell ref="O34:Q34"/>
    <mergeCell ref="R34:Z34"/>
    <mergeCell ref="AC34:AD34"/>
    <mergeCell ref="C37:E37"/>
    <mergeCell ref="H37:K37"/>
    <mergeCell ref="L37:N37"/>
    <mergeCell ref="O37:Q37"/>
    <mergeCell ref="R37:Z37"/>
    <mergeCell ref="AC37:AD37"/>
    <mergeCell ref="C36:E36"/>
    <mergeCell ref="H36:K36"/>
    <mergeCell ref="L36:N36"/>
    <mergeCell ref="O36:Q36"/>
    <mergeCell ref="R36:Z36"/>
    <mergeCell ref="AC36:AD36"/>
    <mergeCell ref="C39:E39"/>
    <mergeCell ref="H39:K39"/>
    <mergeCell ref="L39:N39"/>
    <mergeCell ref="O39:Q39"/>
    <mergeCell ref="R39:Z39"/>
    <mergeCell ref="AC39:AD39"/>
    <mergeCell ref="C38:E38"/>
    <mergeCell ref="H38:K38"/>
    <mergeCell ref="L38:N38"/>
    <mergeCell ref="O38:Q38"/>
    <mergeCell ref="R38:Z38"/>
    <mergeCell ref="AC38:AD38"/>
    <mergeCell ref="C40:E40"/>
    <mergeCell ref="H40:K40"/>
    <mergeCell ref="L40:N40"/>
    <mergeCell ref="O40:Q40"/>
    <mergeCell ref="R40:Z40"/>
    <mergeCell ref="C41:E41"/>
    <mergeCell ref="H41:K41"/>
    <mergeCell ref="L41:N41"/>
    <mergeCell ref="O41:Q41"/>
    <mergeCell ref="R41:Z41"/>
    <mergeCell ref="C42:E42"/>
    <mergeCell ref="H42:K42"/>
    <mergeCell ref="L42:N42"/>
    <mergeCell ref="O42:Q42"/>
    <mergeCell ref="R42:Z42"/>
    <mergeCell ref="C43:E43"/>
    <mergeCell ref="H43:K43"/>
    <mergeCell ref="L43:N43"/>
    <mergeCell ref="O43:Q43"/>
    <mergeCell ref="R43:Z43"/>
  </mergeCells>
  <conditionalFormatting sqref="F3:F5">
    <cfRule type="cellIs" dxfId="11" priority="10" operator="greaterThan">
      <formula>0.895</formula>
    </cfRule>
    <cfRule type="cellIs" dxfId="10" priority="11" operator="greaterThan">
      <formula>0.845</formula>
    </cfRule>
    <cfRule type="cellIs" dxfId="9" priority="12" operator="lessThan">
      <formula>0.85</formula>
    </cfRule>
  </conditionalFormatting>
  <conditionalFormatting sqref="H4:H5">
    <cfRule type="cellIs" dxfId="8" priority="8" operator="equal">
      <formula>"↓"</formula>
    </cfRule>
    <cfRule type="cellIs" dxfId="7" priority="9" operator="equal">
      <formula>"↑"</formula>
    </cfRule>
  </conditionalFormatting>
  <conditionalFormatting sqref="S16:W21">
    <cfRule type="expression" dxfId="6" priority="7">
      <formula>AND(ISNUMBER(S16),S16&lt;TODAY())</formula>
    </cfRule>
  </conditionalFormatting>
  <conditionalFormatting sqref="G10:W10">
    <cfRule type="cellIs" dxfId="5" priority="6" operator="greaterThan">
      <formula>G9</formula>
    </cfRule>
  </conditionalFormatting>
  <conditionalFormatting sqref="G11:W11">
    <cfRule type="cellIs" dxfId="4" priority="5" operator="greaterThan">
      <formula>0</formula>
    </cfRule>
  </conditionalFormatting>
  <conditionalFormatting sqref="O24:O43">
    <cfRule type="expression" dxfId="3" priority="4">
      <formula>OR(NOT(ISERROR(SEARCH("COMPLETE",O24))),NOT(ISERROR(SEARCH("RELEASED",O24))))</formula>
    </cfRule>
  </conditionalFormatting>
  <conditionalFormatting sqref="O24:Q43">
    <cfRule type="expression" dxfId="2" priority="3">
      <formula>NOT(ISERROR(SEARCH("ECO",O24)))</formula>
    </cfRule>
  </conditionalFormatting>
  <conditionalFormatting sqref="F24:F43">
    <cfRule type="expression" dxfId="1" priority="1">
      <formula>AND($F24&gt;0,DATEVALUE(RIGHT($F24,2)&amp;"-"&amp;MID($F24,6,3)&amp;"-"&amp;LEFT($F24,4))&lt;TODAY())</formula>
    </cfRule>
    <cfRule type="expression" dxfId="0" priority="2">
      <formula>AND($F24&gt;0,DATEVALUE(RIGHT($F24,2)&amp;"-"&amp;MID($F24,6,3)&amp;"-"&amp;LEFT($F24+$A$28,4))&lt;TODAY()+7)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UpdateCurrent">
                <anchor moveWithCells="1">
                  <from>
                    <xdr:col>37</xdr:col>
                    <xdr:colOff>297180</xdr:colOff>
                    <xdr:row>0</xdr:row>
                    <xdr:rowOff>0</xdr:rowOff>
                  </from>
                  <to>
                    <xdr:col>38</xdr:col>
                    <xdr:colOff>601980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207E03C153D0448908AF84895EE7D05" ma:contentTypeVersion="11" ma:contentTypeDescription="Create a new document." ma:contentTypeScope="" ma:versionID="02a6a8f1c0ac2885c2477c29bdc5c0a0">
  <xsd:schema xmlns:xsd="http://www.w3.org/2001/XMLSchema" xmlns:xs="http://www.w3.org/2001/XMLSchema" xmlns:p="http://schemas.microsoft.com/office/2006/metadata/properties" xmlns:ns3="37840923-d310-4d07-aab9-eaeb9707cd2a" xmlns:ns4="b85ca74c-896a-4724-926c-f71e81f975ac" targetNamespace="http://schemas.microsoft.com/office/2006/metadata/properties" ma:root="true" ma:fieldsID="83a74450845a65b789db7eff8d7b5f78" ns3:_="" ns4:_="">
    <xsd:import namespace="37840923-d310-4d07-aab9-eaeb9707cd2a"/>
    <xsd:import namespace="b85ca74c-896a-4724-926c-f71e81f975ac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840923-d310-4d07-aab9-eaeb9707cd2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85ca74c-896a-4724-926c-f71e81f975a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A5C584C-E59A-4C85-8774-DD80BFEC42D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7840923-d310-4d07-aab9-eaeb9707cd2a"/>
    <ds:schemaRef ds:uri="b85ca74c-896a-4724-926c-f71e81f975a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079DAB1-BA7F-494A-8C7F-CE2F8EAE2262}">
  <ds:schemaRefs>
    <ds:schemaRef ds:uri="37840923-d310-4d07-aab9-eaeb9707cd2a"/>
    <ds:schemaRef ds:uri="b85ca74c-896a-4724-926c-f71e81f975ac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769E5B3A-7766-48F9-B282-2BFA0F26F34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Summary</vt:lpstr>
      <vt:lpstr>#BLANK</vt:lpstr>
      <vt:lpstr>#KEY</vt:lpstr>
      <vt:lpstr>C-GSKITA-834</vt:lpstr>
      <vt:lpstr>C-INNOVA-788</vt:lpstr>
      <vt:lpstr>C-INNOVA-789</vt:lpstr>
      <vt:lpstr>C-INNOVA-793</vt:lpstr>
      <vt:lpstr>C-KEYGEN-828</vt:lpstr>
      <vt:lpstr>C-NORTHE-841</vt:lpstr>
      <vt:lpstr>'C-GSKITA-834'!Print_Area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England, Tyler (PSA-CLW)</dc:creator>
  <cp:keywords/>
  <dc:description/>
  <cp:lastModifiedBy>Viovicente, Michelle (PSA-CLW)</cp:lastModifiedBy>
  <cp:revision/>
  <dcterms:created xsi:type="dcterms:W3CDTF">2020-06-25T12:32:14Z</dcterms:created>
  <dcterms:modified xsi:type="dcterms:W3CDTF">2021-06-02T13:20:06Z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0x010100B207E03C153D0448908AF84895EE7D05</vt:lpwstr>
  </property>
</Properties>
</file>